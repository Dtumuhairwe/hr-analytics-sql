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Employee Data" sheetId="2" state="visible" r:id="rId4"/>
    <sheet name="Headcount &amp; Comp" sheetId="3" state="visible" r:id="rId5"/>
    <sheet name="Action Lis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<sst xmlns="http://schemas.openxmlformats.org/spreadsheetml/2006/main" count="336" uniqueCount="164">
  <si>
    <t xml:space="preserve">HR Analytics Dashboard</t>
  </si>
  <si>
    <t xml:space="preserve">FY2025 company snapshot — 36 active employees across 6 departments</t>
  </si>
  <si>
    <t xml:space="preserve">Active Headcount</t>
  </si>
  <si>
    <t xml:space="preserve">2024 Attrition</t>
  </si>
  <si>
    <t xml:space="preserve">Two-Time Top Performers</t>
  </si>
  <si>
    <t xml:space="preserve">Flight Risk</t>
  </si>
  <si>
    <t xml:space="preserve">Avg Total Comp 2025</t>
  </si>
  <si>
    <t xml:space="preserve">Across 6 departments</t>
  </si>
  <si>
    <t xml:space="preserve">3 terminations on 36 SOY headcount</t>
  </si>
  <si>
    <t xml:space="preserve">5/5 in both 2023 and 2024</t>
  </si>
  <si>
    <t xml:space="preserve">Rating &gt;=4, raise &lt;5%</t>
  </si>
  <si>
    <t xml:space="preserve">Across all active employees</t>
  </si>
  <si>
    <t xml:space="preserve">Department Snapshot</t>
  </si>
  <si>
    <t xml:space="preserve">Trends &amp; Distribution</t>
  </si>
  <si>
    <t xml:space="preserve">Source: HR Analytics SQL Project (queries Q1, Q2, Q6, Q13, Q14, Q17, Q25). Synthetic data.</t>
  </si>
  <si>
    <t xml:space="preserve">Employee ID</t>
  </si>
  <si>
    <t xml:space="preserve">Full Name</t>
  </si>
  <si>
    <t xml:space="preserve">Department</t>
  </si>
  <si>
    <t xml:space="preserve">Job Title</t>
  </si>
  <si>
    <t xml:space="preserve">Gender</t>
  </si>
  <si>
    <t xml:space="preserve">Hire Date</t>
  </si>
  <si>
    <t xml:space="preserve">Tenure (Yrs)</t>
  </si>
  <si>
    <t xml:space="preserve">Base 2024</t>
  </si>
  <si>
    <t xml:space="preserve">Base 2025</t>
  </si>
  <si>
    <t xml:space="preserve">Bonus 2025</t>
  </si>
  <si>
    <t xml:space="preserve">Total Comp 2025</t>
  </si>
  <si>
    <t xml:space="preserve">Raise %</t>
  </si>
  <si>
    <t xml:space="preserve">Rating 2023</t>
  </si>
  <si>
    <t xml:space="preserve">Rating 2024</t>
  </si>
  <si>
    <t xml:space="preserve">Salary Band</t>
  </si>
  <si>
    <t xml:space="preserve">Sarah Chen</t>
  </si>
  <si>
    <t xml:space="preserve">Engineering</t>
  </si>
  <si>
    <t xml:space="preserve">VP Engineering</t>
  </si>
  <si>
    <t xml:space="preserve">Female</t>
  </si>
  <si>
    <t xml:space="preserve">2018-03-15</t>
  </si>
  <si>
    <t xml:space="preserve">Executive</t>
  </si>
  <si>
    <t xml:space="preserve">Marcus Johnson</t>
  </si>
  <si>
    <t xml:space="preserve">Engineering Manager</t>
  </si>
  <si>
    <t xml:space="preserve">Male</t>
  </si>
  <si>
    <t xml:space="preserve">2019-06-01</t>
  </si>
  <si>
    <t xml:space="preserve">Priya Patel</t>
  </si>
  <si>
    <t xml:space="preserve">Senior Software Engineer</t>
  </si>
  <si>
    <t xml:space="preserve">2020-08-20</t>
  </si>
  <si>
    <t xml:space="preserve">Senior</t>
  </si>
  <si>
    <t xml:space="preserve">David Kim</t>
  </si>
  <si>
    <t xml:space="preserve">Software Engineer</t>
  </si>
  <si>
    <t xml:space="preserve">2021-02-10</t>
  </si>
  <si>
    <t xml:space="preserve">Mid-Level</t>
  </si>
  <si>
    <t xml:space="preserve">Aisha Williams</t>
  </si>
  <si>
    <t xml:space="preserve">2022-09-05</t>
  </si>
  <si>
    <t xml:space="preserve">James OConnor</t>
  </si>
  <si>
    <t xml:space="preserve">Junior Engineer</t>
  </si>
  <si>
    <t xml:space="preserve">2023-04-18</t>
  </si>
  <si>
    <t xml:space="preserve">Carlos Mendoza</t>
  </si>
  <si>
    <t xml:space="preserve">2024-01-15</t>
  </si>
  <si>
    <t xml:space="preserve">Robert Taylor</t>
  </si>
  <si>
    <t xml:space="preserve">Sales</t>
  </si>
  <si>
    <t xml:space="preserve">VP Sales</t>
  </si>
  <si>
    <t xml:space="preserve">2018-07-01</t>
  </si>
  <si>
    <t xml:space="preserve">Emily Rodriguez</t>
  </si>
  <si>
    <t xml:space="preserve">Sales Manager</t>
  </si>
  <si>
    <t xml:space="preserve">2019-09-12</t>
  </si>
  <si>
    <t xml:space="preserve">Michael Brown</t>
  </si>
  <si>
    <t xml:space="preserve">Senior Account Executive</t>
  </si>
  <si>
    <t xml:space="preserve">2020-03-25</t>
  </si>
  <si>
    <t xml:space="preserve">Jessica Lee</t>
  </si>
  <si>
    <t xml:space="preserve">Account Executive</t>
  </si>
  <si>
    <t xml:space="preserve">2021-05-14</t>
  </si>
  <si>
    <t xml:space="preserve">Daniel Garcia</t>
  </si>
  <si>
    <t xml:space="preserve">2022-08-19</t>
  </si>
  <si>
    <t xml:space="preserve">Sophia Martinez</t>
  </si>
  <si>
    <t xml:space="preserve">Sales Development Rep</t>
  </si>
  <si>
    <t xml:space="preserve">2023-11-02</t>
  </si>
  <si>
    <t xml:space="preserve">Linda Foster</t>
  </si>
  <si>
    <t xml:space="preserve">Customer Support</t>
  </si>
  <si>
    <t xml:space="preserve">Director of Support</t>
  </si>
  <si>
    <t xml:space="preserve">2018-11-04</t>
  </si>
  <si>
    <t xml:space="preserve">Tomas Silva</t>
  </si>
  <si>
    <t xml:space="preserve">Support Manager</t>
  </si>
  <si>
    <t xml:space="preserve">2019-08-19</t>
  </si>
  <si>
    <t xml:space="preserve">Rachel Green</t>
  </si>
  <si>
    <t xml:space="preserve">Senior Support Specialist</t>
  </si>
  <si>
    <t xml:space="preserve">2020-05-11</t>
  </si>
  <si>
    <t xml:space="preserve">Marcus Lee</t>
  </si>
  <si>
    <t xml:space="preserve">Support Specialist</t>
  </si>
  <si>
    <t xml:space="preserve">2021-04-06</t>
  </si>
  <si>
    <t xml:space="preserve">Entry-Level</t>
  </si>
  <si>
    <t xml:space="preserve">Olivia Brooks</t>
  </si>
  <si>
    <t xml:space="preserve">2021-09-13</t>
  </si>
  <si>
    <t xml:space="preserve">Jordan Smith</t>
  </si>
  <si>
    <t xml:space="preserve">Other</t>
  </si>
  <si>
    <t xml:space="preserve">2022-03-21</t>
  </si>
  <si>
    <t xml:space="preserve">Tariq Hassan</t>
  </si>
  <si>
    <t xml:space="preserve">Junior Support Specialist</t>
  </si>
  <si>
    <t xml:space="preserve">2023-02-09</t>
  </si>
  <si>
    <t xml:space="preserve">Amara Okafor</t>
  </si>
  <si>
    <t xml:space="preserve">2023-06-27</t>
  </si>
  <si>
    <t xml:space="preserve">Yuki Tanaka</t>
  </si>
  <si>
    <t xml:space="preserve">2024-02-12</t>
  </si>
  <si>
    <t xml:space="preserve">Diana Patel</t>
  </si>
  <si>
    <t xml:space="preserve">Marketing</t>
  </si>
  <si>
    <t xml:space="preserve">Director of Marketing</t>
  </si>
  <si>
    <t xml:space="preserve">2019-04-22</t>
  </si>
  <si>
    <t xml:space="preserve">Ethan Brooks</t>
  </si>
  <si>
    <t xml:space="preserve">Marketing Manager</t>
  </si>
  <si>
    <t xml:space="preserve">2020-07-14</t>
  </si>
  <si>
    <t xml:space="preserve">Hannah Cole</t>
  </si>
  <si>
    <t xml:space="preserve">Senior Marketing Specialist</t>
  </si>
  <si>
    <t xml:space="preserve">2021-08-09</t>
  </si>
  <si>
    <t xml:space="preserve">Felix Romero</t>
  </si>
  <si>
    <t xml:space="preserve">Marketing Specialist</t>
  </si>
  <si>
    <t xml:space="preserve">2022-05-30</t>
  </si>
  <si>
    <t xml:space="preserve">Zoe Bennett</t>
  </si>
  <si>
    <t xml:space="preserve">Content Strategist</t>
  </si>
  <si>
    <t xml:space="preserve">2023-03-13</t>
  </si>
  <si>
    <t xml:space="preserve">Mateo Diaz</t>
  </si>
  <si>
    <t xml:space="preserve">Marketing Analyst</t>
  </si>
  <si>
    <t xml:space="preserve">2023-10-02</t>
  </si>
  <si>
    <t xml:space="preserve">Henry Wong</t>
  </si>
  <si>
    <t xml:space="preserve">Finance</t>
  </si>
  <si>
    <t xml:space="preserve">Chief Financial Officer</t>
  </si>
  <si>
    <t xml:space="preserve">2018-02-26</t>
  </si>
  <si>
    <t xml:space="preserve">Natalia Ivanov</t>
  </si>
  <si>
    <t xml:space="preserve">Finance Manager</t>
  </si>
  <si>
    <t xml:space="preserve">2020-01-08</t>
  </si>
  <si>
    <t xml:space="preserve">Oliver Reid</t>
  </si>
  <si>
    <t xml:space="preserve">Senior Financial Analyst</t>
  </si>
  <si>
    <t xml:space="preserve">2021-07-19</t>
  </si>
  <si>
    <t xml:space="preserve">Grace Lim</t>
  </si>
  <si>
    <t xml:space="preserve">Financial Analyst</t>
  </si>
  <si>
    <t xml:space="preserve">2023-05-22</t>
  </si>
  <si>
    <t xml:space="preserve">Samuel Akpan</t>
  </si>
  <si>
    <t xml:space="preserve">2024-07-08</t>
  </si>
  <si>
    <t xml:space="preserve">Patricia Davis</t>
  </si>
  <si>
    <t xml:space="preserve">Human Resources</t>
  </si>
  <si>
    <t xml:space="preserve">VP Human Resources</t>
  </si>
  <si>
    <t xml:space="preserve">2018-10-15</t>
  </si>
  <si>
    <t xml:space="preserve">Andre Williams</t>
  </si>
  <si>
    <t xml:space="preserve">HR Manager</t>
  </si>
  <si>
    <t xml:space="preserve">2020-04-03</t>
  </si>
  <si>
    <t xml:space="preserve">Naomi Berhane</t>
  </si>
  <si>
    <t xml:space="preserve">HR Business Partner</t>
  </si>
  <si>
    <t xml:space="preserve">2022-11-28</t>
  </si>
  <si>
    <t xml:space="preserve">Headcount &amp; Compensation Summary</t>
  </si>
  <si>
    <t xml:space="preserve">Auto-calculated from the Employee Data sheet.</t>
  </si>
  <si>
    <t xml:space="preserve">Headcount by Department</t>
  </si>
  <si>
    <t xml:space="preserve">Headcount</t>
  </si>
  <si>
    <t xml:space="preserve">Total</t>
  </si>
  <si>
    <t xml:space="preserve">Average 2025 Compensation by Department</t>
  </si>
  <si>
    <t xml:space="preserve">Avg Base</t>
  </si>
  <si>
    <t xml:space="preserve">Avg Total Comp</t>
  </si>
  <si>
    <t xml:space="preserve">Annual Attrition</t>
  </si>
  <si>
    <t xml:space="preserve">Year</t>
  </si>
  <si>
    <t xml:space="preserve">Terminations</t>
  </si>
  <si>
    <t xml:space="preserve">SOY Headcount</t>
  </si>
  <si>
    <t xml:space="preserve">Attrition %</t>
  </si>
  <si>
    <t xml:space="preserve">Salary Band Distribution (2025)</t>
  </si>
  <si>
    <t xml:space="preserve">Band</t>
  </si>
  <si>
    <t xml:space="preserve">Employees</t>
  </si>
  <si>
    <t xml:space="preserve">People Operations Action Lists</t>
  </si>
  <si>
    <t xml:space="preserve">The two queries People Ops would act on this quarter.</t>
  </si>
  <si>
    <t xml:space="preserve">Two-Time Top Performers (5/5 in 2023 AND 2024)</t>
  </si>
  <si>
    <t xml:space="preserve">Name</t>
  </si>
  <si>
    <t xml:space="preserve">Flight Risk Shortlist (Rating &gt;= 4 in 2024 AND &lt;5% raise into 2025)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</si>
</sst>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\$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4E7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22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AE3F3"/>
        <bgColor rgb="FFD9D9D9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9F9F9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1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Headcount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'Headcount &amp; Comp'!C6</c:f>
              <c:strCache>
                <c:ptCount val="1"/>
                <c:pt idx="0">
                  <c:v>Headcount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'Headcount &amp; Comp'!$B$7:$B$12</c:f>
              <c:strCache>
                <c:ptCount val="6"/>
                <c:pt idx="0">
                  <c:v>Engineering</c:v>
                </c:pt>
                <c:pt idx="1">
                  <c:v>Sales</c:v>
                </c:pt>
                <c:pt idx="2">
                  <c:v>Customer Support</c:v>
                </c:pt>
                <c:pt idx="3">
                  <c:v>Marketing</c:v>
                </c:pt>
                <c:pt idx="4">
                  <c:v>Finance</c:v>
                </c:pt>
                <c:pt idx="5">
                  <c:v>Human Resources</c:v>
                </c:pt>
              </c:strCache>
            </c:strRef>
          </c:cat>
          <c:val>
            <c:numRef>
              <c:f>'Headcount &amp; Comp'!$C$7:$C$12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9</c:v>
                </c:pt>
                <c:pt idx="3">
                  <c:v>6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</c:ser>
        <c:gapWidth val="150"/>
        <c:overlap val="0"/>
        <c:axId val="86492176"/>
        <c:axId val="38485813"/>
      </c:barChart>
      <c:catAx>
        <c:axId val="8649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485813"/>
        <c:crosses val="autoZero"/>
        <c:auto val="1"/>
        <c:lblAlgn val="ctr"/>
        <c:lblOffset val="100"/>
        <c:noMultiLvlLbl val="0"/>
      </c:catAx>
      <c:valAx>
        <c:axId val="384858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4921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1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Avg Total Comp 2025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'Headcount &amp; Comp'!D17</c:f>
              <c:strCache>
                <c:ptCount val="1"/>
                <c:pt idx="0">
                  <c:v>Avg Total Comp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'Headcount &amp; Comp'!$B$18:$B$23</c:f>
              <c:strCache>
                <c:ptCount val="6"/>
                <c:pt idx="0">
                  <c:v>Engineering</c:v>
                </c:pt>
                <c:pt idx="1">
                  <c:v>Sales</c:v>
                </c:pt>
                <c:pt idx="2">
                  <c:v>Customer Support</c:v>
                </c:pt>
                <c:pt idx="3">
                  <c:v>Marketing</c:v>
                </c:pt>
                <c:pt idx="4">
                  <c:v>Finance</c:v>
                </c:pt>
                <c:pt idx="5">
                  <c:v>Human Resources</c:v>
                </c:pt>
              </c:strCache>
            </c:strRef>
          </c:cat>
          <c:val>
            <c:numRef>
              <c:f>'Headcount &amp; Comp'!$D$18:$D$23</c:f>
              <c:numCache>
                <c:formatCode>\$#,##0</c:formatCode>
                <c:ptCount val="6"/>
                <c:pt idx="0">
                  <c:v>143928.571428571</c:v>
                </c:pt>
                <c:pt idx="1">
                  <c:v>162833.333333333</c:v>
                </c:pt>
                <c:pt idx="2">
                  <c:v>95055.5555555556</c:v>
                </c:pt>
                <c:pt idx="3">
                  <c:v>113916.666666667</c:v>
                </c:pt>
                <c:pt idx="4">
                  <c:v>158000</c:v>
                </c:pt>
                <c:pt idx="5">
                  <c:v>155000</c:v>
                </c:pt>
              </c:numCache>
            </c:numRef>
          </c:val>
        </c:ser>
        <c:gapWidth val="150"/>
        <c:overlap val="0"/>
        <c:axId val="58056586"/>
        <c:axId val="28283062"/>
      </c:barChart>
      <c:catAx>
        <c:axId val="580565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283062"/>
        <c:crosses val="autoZero"/>
        <c:auto val="1"/>
        <c:lblAlgn val="ctr"/>
        <c:lblOffset val="100"/>
        <c:noMultiLvlLbl val="0"/>
      </c:catAx>
      <c:valAx>
        <c:axId val="282830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0565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Attrition %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'Headcount &amp; Comp'!E27</c:f>
              <c:strCache>
                <c:ptCount val="1"/>
                <c:pt idx="0">
                  <c:v>Attrition %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'Headcount &amp; Comp'!$B$28:$B$30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'Headcount &amp; Comp'!$E$28:$E$30</c:f>
              <c:numCache>
                <c:formatCode>0.0%</c:formatCode>
                <c:ptCount val="3"/>
                <c:pt idx="0">
                  <c:v>0.033</c:v>
                </c:pt>
                <c:pt idx="1">
                  <c:v>0.083</c:v>
                </c:pt>
                <c:pt idx="2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702180"/>
        <c:axId val="68908597"/>
      </c:lineChart>
      <c:catAx>
        <c:axId val="467021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908597"/>
        <c:crosses val="autoZero"/>
        <c:auto val="1"/>
        <c:lblAlgn val="ctr"/>
        <c:lblOffset val="100"/>
        <c:noMultiLvlLbl val="0"/>
      </c:catAx>
      <c:valAx>
        <c:axId val="689085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7021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1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Salary Band Distribution (2025)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'Headcount &amp; Comp'!C34</c:f>
              <c:strCache>
                <c:ptCount val="1"/>
                <c:pt idx="0">
                  <c:v>Employees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'Headcount &amp; Comp'!$B$35:$B$38</c:f>
              <c:strCache>
                <c:ptCount val="4"/>
                <c:pt idx="0">
                  <c:v>Entry-Level</c:v>
                </c:pt>
                <c:pt idx="1">
                  <c:v>Mid-Level</c:v>
                </c:pt>
                <c:pt idx="2">
                  <c:v>Senior</c:v>
                </c:pt>
                <c:pt idx="3">
                  <c:v>Executive</c:v>
                </c:pt>
              </c:strCache>
            </c:strRef>
          </c:cat>
          <c:val>
            <c:numRef>
              <c:f>'Headcount &amp; Comp'!$C$35:$C$38</c:f>
              <c:numCache>
                <c:formatCode>General</c:formatCode>
                <c:ptCount val="4"/>
                <c:pt idx="0">
                  <c:v>5</c:v>
                </c:pt>
                <c:pt idx="1">
                  <c:v>18</c:v>
                </c:pt>
                <c:pt idx="2">
                  <c:v>6</c:v>
                </c:pt>
                <c:pt idx="3">
                  <c:v>7</c:v>
                </c:pt>
              </c:numCache>
            </c:numRef>
          </c:val>
        </c:ser>
        <c:gapWidth val="150"/>
        <c:overlap val="0"/>
        <c:axId val="86064087"/>
        <c:axId val="54858075"/>
      </c:barChart>
      <c:catAx>
        <c:axId val="86064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858075"/>
        <c:crosses val="autoZero"/>
        <c:auto val="1"/>
        <c:lblAlgn val="ctr"/>
        <c:lblOffset val="100"/>
        <c:noMultiLvlLbl val="0"/>
      </c:catAx>
      <c:valAx>
        <c:axId val="548580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064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6</xdr:col>
      <xdr:colOff>825480</xdr:colOff>
      <xdr:row>27</xdr:row>
      <xdr:rowOff>1080</xdr:rowOff>
    </xdr:to>
    <xdr:graphicFrame>
      <xdr:nvGraphicFramePr>
        <xdr:cNvPr id="1" name="Chart 1"/>
        <xdr:cNvGraphicFramePr/>
      </xdr:nvGraphicFramePr>
      <xdr:xfrm>
        <a:off x="211320" y="2430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10</xdr:row>
      <xdr:rowOff>0</xdr:rowOff>
    </xdr:from>
    <xdr:to>
      <xdr:col>13</xdr:col>
      <xdr:colOff>825840</xdr:colOff>
      <xdr:row>27</xdr:row>
      <xdr:rowOff>1080</xdr:rowOff>
    </xdr:to>
    <xdr:graphicFrame>
      <xdr:nvGraphicFramePr>
        <xdr:cNvPr id="2" name="Chart 2"/>
        <xdr:cNvGraphicFramePr/>
      </xdr:nvGraphicFramePr>
      <xdr:xfrm>
        <a:off x="7119000" y="2430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29</xdr:row>
      <xdr:rowOff>0</xdr:rowOff>
    </xdr:from>
    <xdr:to>
      <xdr:col>6</xdr:col>
      <xdr:colOff>825480</xdr:colOff>
      <xdr:row>46</xdr:row>
      <xdr:rowOff>1080</xdr:rowOff>
    </xdr:to>
    <xdr:graphicFrame>
      <xdr:nvGraphicFramePr>
        <xdr:cNvPr id="3" name="Chart 3"/>
        <xdr:cNvGraphicFramePr/>
      </xdr:nvGraphicFramePr>
      <xdr:xfrm>
        <a:off x="211320" y="60642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29</xdr:row>
      <xdr:rowOff>0</xdr:rowOff>
    </xdr:from>
    <xdr:to>
      <xdr:col>13</xdr:col>
      <xdr:colOff>825840</xdr:colOff>
      <xdr:row>46</xdr:row>
      <xdr:rowOff>1080</xdr:rowOff>
    </xdr:to>
    <xdr:graphicFrame>
      <xdr:nvGraphicFramePr>
        <xdr:cNvPr id="4" name="Chart 4"/>
        <xdr:cNvGraphicFramePr/>
      </xdr:nvGraphicFramePr>
      <xdr:xfrm>
        <a:off x="7119000" y="60642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14" min="2" style="0" width="14"/>
  </cols>
  <sheetData>
    <row r="2" customFormat="false" ht="24.45" hidden="false" customHeight="fals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18" hidden="false" customHeight="true" outlineLevel="0" collapsed="false">
      <c r="B5" s="3" t="s">
        <v>2</v>
      </c>
      <c r="C5" s="3"/>
      <c r="D5" s="3" t="s">
        <v>3</v>
      </c>
      <c r="E5" s="3"/>
      <c r="F5" s="3" t="s">
        <v>4</v>
      </c>
      <c r="G5" s="3"/>
      <c r="H5" s="3" t="s">
        <v>5</v>
      </c>
      <c r="I5" s="3"/>
      <c r="J5" s="3" t="s">
        <v>6</v>
      </c>
      <c r="K5" s="3"/>
    </row>
    <row r="6" customFormat="false" ht="42" hidden="false" customHeight="true" outlineLevel="0" collapsed="false">
      <c r="B6" s="4" t="n">
        <f aca="false">COUNTA('Employee Data'!B2:B37)</f>
        <v>36</v>
      </c>
      <c r="C6" s="4"/>
      <c r="D6" s="5" t="n">
        <v>0.083</v>
      </c>
      <c r="E6" s="5"/>
      <c r="F6" s="4" t="n">
        <f aca="false">COUNTIFS('Employee Data'!M2:M37,5,'Employee Data'!N2:N37,5)</f>
        <v>9</v>
      </c>
      <c r="G6" s="4"/>
      <c r="H6" s="4" t="n">
        <f aca="false">COUNTIFS('Employee Data'!N2:N37,"&gt;=4",'Employee Data'!L2:L37,"&lt;0.05")</f>
        <v>9</v>
      </c>
      <c r="I6" s="4"/>
      <c r="J6" s="6" t="n">
        <f aca="false">AVERAGE('Employee Data'!K2:K37)</f>
        <v>132736.111111111</v>
      </c>
      <c r="K6" s="6"/>
    </row>
    <row r="7" customFormat="false" ht="15.75" hidden="false" customHeight="true" outlineLevel="0" collapsed="false">
      <c r="B7" s="7" t="s">
        <v>7</v>
      </c>
      <c r="C7" s="7"/>
      <c r="D7" s="7" t="s">
        <v>8</v>
      </c>
      <c r="E7" s="7"/>
      <c r="F7" s="7" t="s">
        <v>9</v>
      </c>
      <c r="G7" s="7"/>
      <c r="H7" s="7" t="s">
        <v>10</v>
      </c>
      <c r="I7" s="7"/>
      <c r="J7" s="7" t="s">
        <v>11</v>
      </c>
      <c r="K7" s="7"/>
    </row>
    <row r="10" customFormat="false" ht="16.15" hidden="false" customHeight="false" outlineLevel="0" collapsed="false">
      <c r="B10" s="8" t="s">
        <v>12</v>
      </c>
    </row>
    <row r="29" customFormat="false" ht="16.15" hidden="false" customHeight="false" outlineLevel="0" collapsed="false">
      <c r="B29" s="8" t="s">
        <v>13</v>
      </c>
    </row>
    <row r="49" customFormat="false" ht="15" hidden="false" customHeight="false" outlineLevel="0" collapsed="false">
      <c r="B49" s="9" t="s">
        <v>14</v>
      </c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</sheetData>
  <mergeCells count="18">
    <mergeCell ref="B2:N2"/>
    <mergeCell ref="B3:N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49:N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10" min="8" style="0" width="13"/>
    <col collapsed="false" customWidth="true" hidden="false" outlineLevel="0" max="11" min="11" style="0" width="16"/>
    <col collapsed="false" customWidth="true" hidden="false" outlineLevel="0" max="12" min="12" style="0" width="9"/>
    <col collapsed="false" customWidth="true" hidden="false" outlineLevel="0" max="14" min="13" style="0" width="10"/>
    <col collapsed="false" customWidth="true" hidden="false" outlineLevel="0" max="15" min="15" style="0" width="14"/>
  </cols>
  <sheetData>
    <row r="1" customFormat="false" ht="27.75" hidden="false" customHeight="true" outlineLevel="0" collapsed="false">
      <c r="A1" s="10" t="s">
        <v>15</v>
      </c>
      <c r="B1" s="10" t="s">
        <v>16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s="10" t="s">
        <v>24</v>
      </c>
      <c r="K1" s="10" t="s">
        <v>25</v>
      </c>
      <c r="L1" s="10" t="s">
        <v>26</v>
      </c>
      <c r="M1" s="10" t="s">
        <v>27</v>
      </c>
      <c r="N1" s="10" t="s">
        <v>28</v>
      </c>
      <c r="O1" s="10" t="s">
        <v>29</v>
      </c>
    </row>
    <row r="2" customFormat="false" ht="15" hidden="false" customHeight="false" outlineLevel="0" collapsed="false">
      <c r="A2" s="11" t="n">
        <v>1</v>
      </c>
      <c r="B2" s="12" t="s">
        <v>30</v>
      </c>
      <c r="C2" s="12" t="s">
        <v>31</v>
      </c>
      <c r="D2" s="12" t="s">
        <v>32</v>
      </c>
      <c r="E2" s="11" t="s">
        <v>33</v>
      </c>
      <c r="F2" s="11" t="s">
        <v>34</v>
      </c>
      <c r="G2" s="12" t="n">
        <f aca="false">DATEDIF(DATE(2018,3,15),DATE(2026,5,21),"Y")</f>
        <v>8</v>
      </c>
      <c r="H2" s="13" t="n">
        <v>225000</v>
      </c>
      <c r="I2" s="13" t="n">
        <v>235000</v>
      </c>
      <c r="J2" s="13" t="n">
        <v>50000</v>
      </c>
      <c r="K2" s="13" t="n">
        <f aca="false">I2+J2</f>
        <v>285000</v>
      </c>
      <c r="L2" s="14" t="n">
        <f aca="false">(I2-H2)/H2</f>
        <v>0.0444444444444444</v>
      </c>
      <c r="M2" s="11" t="n">
        <v>5</v>
      </c>
      <c r="N2" s="11" t="n">
        <v>5</v>
      </c>
      <c r="O2" s="11" t="s">
        <v>35</v>
      </c>
    </row>
    <row r="3" customFormat="false" ht="15" hidden="false" customHeight="false" outlineLevel="0" collapsed="false">
      <c r="A3" s="15" t="n">
        <v>2</v>
      </c>
      <c r="B3" s="16" t="s">
        <v>36</v>
      </c>
      <c r="C3" s="16" t="s">
        <v>31</v>
      </c>
      <c r="D3" s="16" t="s">
        <v>37</v>
      </c>
      <c r="E3" s="15" t="s">
        <v>38</v>
      </c>
      <c r="F3" s="15" t="s">
        <v>39</v>
      </c>
      <c r="G3" s="16" t="n">
        <f aca="false">DATEDIF(DATE(2019,6,1),DATE(2026,5,21),"Y")</f>
        <v>6</v>
      </c>
      <c r="H3" s="17" t="n">
        <v>152000</v>
      </c>
      <c r="I3" s="17" t="n">
        <v>160000</v>
      </c>
      <c r="J3" s="17" t="n">
        <v>28000</v>
      </c>
      <c r="K3" s="17" t="n">
        <f aca="false">I3+J3</f>
        <v>188000</v>
      </c>
      <c r="L3" s="18" t="n">
        <f aca="false">(I3-H3)/H3</f>
        <v>0.0526315789473684</v>
      </c>
      <c r="M3" s="15" t="n">
        <v>4</v>
      </c>
      <c r="N3" s="15" t="n">
        <v>5</v>
      </c>
      <c r="O3" s="15" t="s">
        <v>35</v>
      </c>
    </row>
    <row r="4" customFormat="false" ht="15" hidden="false" customHeight="false" outlineLevel="0" collapsed="false">
      <c r="A4" s="11" t="n">
        <v>3</v>
      </c>
      <c r="B4" s="12" t="s">
        <v>40</v>
      </c>
      <c r="C4" s="12" t="s">
        <v>31</v>
      </c>
      <c r="D4" s="12" t="s">
        <v>41</v>
      </c>
      <c r="E4" s="11" t="s">
        <v>33</v>
      </c>
      <c r="F4" s="11" t="s">
        <v>42</v>
      </c>
      <c r="G4" s="12" t="n">
        <f aca="false">DATEDIF(DATE(2020,8,20),DATE(2026,5,21),"Y")</f>
        <v>5</v>
      </c>
      <c r="H4" s="13" t="n">
        <v>122000</v>
      </c>
      <c r="I4" s="13" t="n">
        <v>128000</v>
      </c>
      <c r="J4" s="13" t="n">
        <v>16000</v>
      </c>
      <c r="K4" s="13" t="n">
        <f aca="false">I4+J4</f>
        <v>144000</v>
      </c>
      <c r="L4" s="14" t="n">
        <f aca="false">(I4-H4)/H4</f>
        <v>0.0491803278688525</v>
      </c>
      <c r="M4" s="11" t="n">
        <v>5</v>
      </c>
      <c r="N4" s="11" t="n">
        <v>5</v>
      </c>
      <c r="O4" s="11" t="s">
        <v>43</v>
      </c>
    </row>
    <row r="5" customFormat="false" ht="15" hidden="false" customHeight="false" outlineLevel="0" collapsed="false">
      <c r="A5" s="15" t="n">
        <v>4</v>
      </c>
      <c r="B5" s="16" t="s">
        <v>44</v>
      </c>
      <c r="C5" s="16" t="s">
        <v>31</v>
      </c>
      <c r="D5" s="16" t="s">
        <v>45</v>
      </c>
      <c r="E5" s="15" t="s">
        <v>38</v>
      </c>
      <c r="F5" s="15" t="s">
        <v>46</v>
      </c>
      <c r="G5" s="16" t="n">
        <f aca="false">DATEDIF(DATE(2021,2,10),DATE(2026,5,21),"Y")</f>
        <v>5</v>
      </c>
      <c r="H5" s="17" t="n">
        <v>98000</v>
      </c>
      <c r="I5" s="17" t="n">
        <v>104000</v>
      </c>
      <c r="J5" s="17" t="n">
        <v>11000</v>
      </c>
      <c r="K5" s="17" t="n">
        <f aca="false">I5+J5</f>
        <v>115000</v>
      </c>
      <c r="L5" s="18" t="n">
        <f aca="false">(I5-H5)/H5</f>
        <v>0.0612244897959184</v>
      </c>
      <c r="M5" s="15" t="n">
        <v>4</v>
      </c>
      <c r="N5" s="15" t="n">
        <v>4</v>
      </c>
      <c r="O5" s="15" t="s">
        <v>47</v>
      </c>
    </row>
    <row r="6" customFormat="false" ht="15" hidden="false" customHeight="false" outlineLevel="0" collapsed="false">
      <c r="A6" s="11" t="n">
        <v>5</v>
      </c>
      <c r="B6" s="12" t="s">
        <v>48</v>
      </c>
      <c r="C6" s="12" t="s">
        <v>31</v>
      </c>
      <c r="D6" s="12" t="s">
        <v>45</v>
      </c>
      <c r="E6" s="11" t="s">
        <v>33</v>
      </c>
      <c r="F6" s="11" t="s">
        <v>49</v>
      </c>
      <c r="G6" s="12" t="n">
        <f aca="false">DATEDIF(DATE(2022,9,5),DATE(2026,5,21),"Y")</f>
        <v>3</v>
      </c>
      <c r="H6" s="13" t="n">
        <v>94000</v>
      </c>
      <c r="I6" s="13" t="n">
        <v>96000</v>
      </c>
      <c r="J6" s="13" t="n">
        <v>9500</v>
      </c>
      <c r="K6" s="13" t="n">
        <f aca="false">I6+J6</f>
        <v>105500</v>
      </c>
      <c r="L6" s="14" t="n">
        <f aca="false">(I6-H6)/H6</f>
        <v>0.0212765957446809</v>
      </c>
      <c r="M6" s="11" t="n">
        <v>5</v>
      </c>
      <c r="N6" s="11" t="n">
        <v>5</v>
      </c>
      <c r="O6" s="11" t="s">
        <v>47</v>
      </c>
    </row>
    <row r="7" customFormat="false" ht="15" hidden="false" customHeight="false" outlineLevel="0" collapsed="false">
      <c r="A7" s="15" t="n">
        <v>6</v>
      </c>
      <c r="B7" s="16" t="s">
        <v>50</v>
      </c>
      <c r="C7" s="16" t="s">
        <v>31</v>
      </c>
      <c r="D7" s="16" t="s">
        <v>51</v>
      </c>
      <c r="E7" s="15" t="s">
        <v>38</v>
      </c>
      <c r="F7" s="15" t="s">
        <v>52</v>
      </c>
      <c r="G7" s="16" t="n">
        <f aca="false">DATEDIF(DATE(2023,4,18),DATE(2026,5,21),"Y")</f>
        <v>3</v>
      </c>
      <c r="H7" s="17" t="n">
        <v>78000</v>
      </c>
      <c r="I7" s="17" t="n">
        <v>84000</v>
      </c>
      <c r="J7" s="17" t="n">
        <v>6000</v>
      </c>
      <c r="K7" s="17" t="n">
        <f aca="false">I7+J7</f>
        <v>90000</v>
      </c>
      <c r="L7" s="18" t="n">
        <f aca="false">(I7-H7)/H7</f>
        <v>0.0769230769230769</v>
      </c>
      <c r="M7" s="15" t="n">
        <v>3</v>
      </c>
      <c r="N7" s="15" t="n">
        <v>4</v>
      </c>
      <c r="O7" s="15" t="s">
        <v>47</v>
      </c>
    </row>
    <row r="8" customFormat="false" ht="15" hidden="false" customHeight="false" outlineLevel="0" collapsed="false">
      <c r="A8" s="11" t="n">
        <v>8</v>
      </c>
      <c r="B8" s="12" t="s">
        <v>53</v>
      </c>
      <c r="C8" s="12" t="s">
        <v>31</v>
      </c>
      <c r="D8" s="12" t="s">
        <v>51</v>
      </c>
      <c r="E8" s="11" t="s">
        <v>38</v>
      </c>
      <c r="F8" s="11" t="s">
        <v>54</v>
      </c>
      <c r="G8" s="12" t="n">
        <f aca="false">DATEDIF(DATE(2024,1,15),DATE(2026,5,21),"Y")</f>
        <v>2</v>
      </c>
      <c r="H8" s="13" t="n">
        <v>70000</v>
      </c>
      <c r="I8" s="13" t="n">
        <v>76000</v>
      </c>
      <c r="J8" s="13" t="n">
        <v>4000</v>
      </c>
      <c r="K8" s="13" t="n">
        <f aca="false">I8+J8</f>
        <v>80000</v>
      </c>
      <c r="L8" s="14" t="n">
        <f aca="false">(I8-H8)/H8</f>
        <v>0.0857142857142857</v>
      </c>
      <c r="M8" s="11"/>
      <c r="N8" s="11" t="n">
        <v>3</v>
      </c>
      <c r="O8" s="11" t="s">
        <v>47</v>
      </c>
    </row>
    <row r="9" customFormat="false" ht="15" hidden="false" customHeight="false" outlineLevel="0" collapsed="false">
      <c r="A9" s="15" t="n">
        <v>9</v>
      </c>
      <c r="B9" s="16" t="s">
        <v>55</v>
      </c>
      <c r="C9" s="16" t="s">
        <v>56</v>
      </c>
      <c r="D9" s="16" t="s">
        <v>57</v>
      </c>
      <c r="E9" s="15" t="s">
        <v>38</v>
      </c>
      <c r="F9" s="15" t="s">
        <v>58</v>
      </c>
      <c r="G9" s="16" t="n">
        <f aca="false">DATEDIF(DATE(2018,7,1),DATE(2026,5,21),"Y")</f>
        <v>7</v>
      </c>
      <c r="H9" s="17" t="n">
        <v>205000</v>
      </c>
      <c r="I9" s="17" t="n">
        <v>218000</v>
      </c>
      <c r="J9" s="17" t="n">
        <v>70000</v>
      </c>
      <c r="K9" s="17" t="n">
        <f aca="false">I9+J9</f>
        <v>288000</v>
      </c>
      <c r="L9" s="18" t="n">
        <f aca="false">(I9-H9)/H9</f>
        <v>0.0634146341463415</v>
      </c>
      <c r="M9" s="15" t="n">
        <v>5</v>
      </c>
      <c r="N9" s="15" t="n">
        <v>5</v>
      </c>
      <c r="O9" s="15" t="s">
        <v>35</v>
      </c>
    </row>
    <row r="10" customFormat="false" ht="15" hidden="false" customHeight="false" outlineLevel="0" collapsed="false">
      <c r="A10" s="11" t="n">
        <v>10</v>
      </c>
      <c r="B10" s="12" t="s">
        <v>59</v>
      </c>
      <c r="C10" s="12" t="s">
        <v>56</v>
      </c>
      <c r="D10" s="12" t="s">
        <v>60</v>
      </c>
      <c r="E10" s="11" t="s">
        <v>33</v>
      </c>
      <c r="F10" s="11" t="s">
        <v>61</v>
      </c>
      <c r="G10" s="12" t="n">
        <f aca="false">DATEDIF(DATE(2019,9,12),DATE(2026,5,21),"Y")</f>
        <v>6</v>
      </c>
      <c r="H10" s="13" t="n">
        <v>142000</v>
      </c>
      <c r="I10" s="13" t="n">
        <v>150000</v>
      </c>
      <c r="J10" s="13" t="n">
        <v>42000</v>
      </c>
      <c r="K10" s="13" t="n">
        <f aca="false">I10+J10</f>
        <v>192000</v>
      </c>
      <c r="L10" s="14" t="n">
        <f aca="false">(I10-H10)/H10</f>
        <v>0.0563380281690141</v>
      </c>
      <c r="M10" s="11" t="n">
        <v>4</v>
      </c>
      <c r="N10" s="11" t="n">
        <v>4</v>
      </c>
      <c r="O10" s="11" t="s">
        <v>43</v>
      </c>
    </row>
    <row r="11" customFormat="false" ht="15" hidden="false" customHeight="false" outlineLevel="0" collapsed="false">
      <c r="A11" s="15" t="n">
        <v>11</v>
      </c>
      <c r="B11" s="16" t="s">
        <v>62</v>
      </c>
      <c r="C11" s="16" t="s">
        <v>56</v>
      </c>
      <c r="D11" s="16" t="s">
        <v>63</v>
      </c>
      <c r="E11" s="15" t="s">
        <v>38</v>
      </c>
      <c r="F11" s="15" t="s">
        <v>64</v>
      </c>
      <c r="G11" s="16" t="n">
        <f aca="false">DATEDIF(DATE(2020,3,25),DATE(2026,5,21),"Y")</f>
        <v>6</v>
      </c>
      <c r="H11" s="17" t="n">
        <v>100000</v>
      </c>
      <c r="I11" s="17" t="n">
        <v>108000</v>
      </c>
      <c r="J11" s="17" t="n">
        <v>55000</v>
      </c>
      <c r="K11" s="17" t="n">
        <f aca="false">I11+J11</f>
        <v>163000</v>
      </c>
      <c r="L11" s="18" t="n">
        <f aca="false">(I11-H11)/H11</f>
        <v>0.08</v>
      </c>
      <c r="M11" s="15" t="n">
        <v>4</v>
      </c>
      <c r="N11" s="15" t="n">
        <v>5</v>
      </c>
      <c r="O11" s="15" t="s">
        <v>47</v>
      </c>
    </row>
    <row r="12" customFormat="false" ht="15" hidden="false" customHeight="false" outlineLevel="0" collapsed="false">
      <c r="A12" s="11" t="n">
        <v>12</v>
      </c>
      <c r="B12" s="12" t="s">
        <v>65</v>
      </c>
      <c r="C12" s="12" t="s">
        <v>56</v>
      </c>
      <c r="D12" s="12" t="s">
        <v>66</v>
      </c>
      <c r="E12" s="11" t="s">
        <v>33</v>
      </c>
      <c r="F12" s="11" t="s">
        <v>67</v>
      </c>
      <c r="G12" s="12" t="n">
        <f aca="false">DATEDIF(DATE(2021,5,14),DATE(2026,5,21),"Y")</f>
        <v>5</v>
      </c>
      <c r="H12" s="13" t="n">
        <v>88000</v>
      </c>
      <c r="I12" s="13" t="n">
        <v>90000</v>
      </c>
      <c r="J12" s="13" t="n">
        <v>37000</v>
      </c>
      <c r="K12" s="13" t="n">
        <f aca="false">I12+J12</f>
        <v>127000</v>
      </c>
      <c r="L12" s="14" t="n">
        <f aca="false">(I12-H12)/H12</f>
        <v>0.0227272727272727</v>
      </c>
      <c r="M12" s="11" t="n">
        <v>4</v>
      </c>
      <c r="N12" s="11" t="n">
        <v>4</v>
      </c>
      <c r="O12" s="11" t="s">
        <v>47</v>
      </c>
    </row>
    <row r="13" customFormat="false" ht="15" hidden="false" customHeight="false" outlineLevel="0" collapsed="false">
      <c r="A13" s="15" t="n">
        <v>13</v>
      </c>
      <c r="B13" s="16" t="s">
        <v>68</v>
      </c>
      <c r="C13" s="16" t="s">
        <v>56</v>
      </c>
      <c r="D13" s="16" t="s">
        <v>66</v>
      </c>
      <c r="E13" s="15" t="s">
        <v>38</v>
      </c>
      <c r="F13" s="15" t="s">
        <v>69</v>
      </c>
      <c r="G13" s="16" t="n">
        <f aca="false">DATEDIF(DATE(2022,8,19),DATE(2026,5,21),"Y")</f>
        <v>3</v>
      </c>
      <c r="H13" s="17" t="n">
        <v>84000</v>
      </c>
      <c r="I13" s="17" t="n">
        <v>89000</v>
      </c>
      <c r="J13" s="17" t="n">
        <v>35000</v>
      </c>
      <c r="K13" s="17" t="n">
        <f aca="false">I13+J13</f>
        <v>124000</v>
      </c>
      <c r="L13" s="18" t="n">
        <f aca="false">(I13-H13)/H13</f>
        <v>0.0595238095238095</v>
      </c>
      <c r="M13" s="15" t="n">
        <v>3</v>
      </c>
      <c r="N13" s="15" t="n">
        <v>4</v>
      </c>
      <c r="O13" s="15" t="s">
        <v>47</v>
      </c>
    </row>
    <row r="14" customFormat="false" ht="15" hidden="false" customHeight="false" outlineLevel="0" collapsed="false">
      <c r="A14" s="11" t="n">
        <v>14</v>
      </c>
      <c r="B14" s="12" t="s">
        <v>70</v>
      </c>
      <c r="C14" s="12" t="s">
        <v>56</v>
      </c>
      <c r="D14" s="12" t="s">
        <v>71</v>
      </c>
      <c r="E14" s="11" t="s">
        <v>33</v>
      </c>
      <c r="F14" s="11" t="s">
        <v>72</v>
      </c>
      <c r="G14" s="12" t="n">
        <f aca="false">DATEDIF(DATE(2023,11,2),DATE(2026,5,21),"Y")</f>
        <v>2</v>
      </c>
      <c r="H14" s="13" t="n">
        <v>64000</v>
      </c>
      <c r="I14" s="13" t="n">
        <v>70000</v>
      </c>
      <c r="J14" s="13" t="n">
        <v>13000</v>
      </c>
      <c r="K14" s="13" t="n">
        <f aca="false">I14+J14</f>
        <v>83000</v>
      </c>
      <c r="L14" s="14" t="n">
        <f aca="false">(I14-H14)/H14</f>
        <v>0.09375</v>
      </c>
      <c r="M14" s="11" t="n">
        <v>3</v>
      </c>
      <c r="N14" s="11" t="n">
        <v>4</v>
      </c>
      <c r="O14" s="11" t="s">
        <v>47</v>
      </c>
    </row>
    <row r="15" customFormat="false" ht="15" hidden="false" customHeight="false" outlineLevel="0" collapsed="false">
      <c r="A15" s="15" t="n">
        <v>16</v>
      </c>
      <c r="B15" s="16" t="s">
        <v>73</v>
      </c>
      <c r="C15" s="16" t="s">
        <v>74</v>
      </c>
      <c r="D15" s="16" t="s">
        <v>75</v>
      </c>
      <c r="E15" s="15" t="s">
        <v>33</v>
      </c>
      <c r="F15" s="15" t="s">
        <v>76</v>
      </c>
      <c r="G15" s="16" t="n">
        <f aca="false">DATEDIF(DATE(2018,11,4),DATE(2026,5,21),"Y")</f>
        <v>7</v>
      </c>
      <c r="H15" s="17" t="n">
        <v>172000</v>
      </c>
      <c r="I15" s="17" t="n">
        <v>180000</v>
      </c>
      <c r="J15" s="17" t="n">
        <v>30000</v>
      </c>
      <c r="K15" s="17" t="n">
        <f aca="false">I15+J15</f>
        <v>210000</v>
      </c>
      <c r="L15" s="18" t="n">
        <f aca="false">(I15-H15)/H15</f>
        <v>0.0465116279069767</v>
      </c>
      <c r="M15" s="15" t="n">
        <v>4</v>
      </c>
      <c r="N15" s="15" t="n">
        <v>4</v>
      </c>
      <c r="O15" s="15" t="s">
        <v>35</v>
      </c>
    </row>
    <row r="16" customFormat="false" ht="15" hidden="false" customHeight="false" outlineLevel="0" collapsed="false">
      <c r="A16" s="11" t="n">
        <v>17</v>
      </c>
      <c r="B16" s="12" t="s">
        <v>77</v>
      </c>
      <c r="C16" s="12" t="s">
        <v>74</v>
      </c>
      <c r="D16" s="12" t="s">
        <v>78</v>
      </c>
      <c r="E16" s="11" t="s">
        <v>38</v>
      </c>
      <c r="F16" s="11" t="s">
        <v>79</v>
      </c>
      <c r="G16" s="12" t="n">
        <f aca="false">DATEDIF(DATE(2019,8,19),DATE(2026,5,21),"Y")</f>
        <v>6</v>
      </c>
      <c r="H16" s="13" t="n">
        <v>121000</v>
      </c>
      <c r="I16" s="13" t="n">
        <v>128000</v>
      </c>
      <c r="J16" s="13" t="n">
        <v>19000</v>
      </c>
      <c r="K16" s="13" t="n">
        <f aca="false">I16+J16</f>
        <v>147000</v>
      </c>
      <c r="L16" s="14" t="n">
        <f aca="false">(I16-H16)/H16</f>
        <v>0.0578512396694215</v>
      </c>
      <c r="M16" s="11" t="n">
        <v>4</v>
      </c>
      <c r="N16" s="11" t="n">
        <v>4</v>
      </c>
      <c r="O16" s="11" t="s">
        <v>43</v>
      </c>
    </row>
    <row r="17" customFormat="false" ht="15" hidden="false" customHeight="false" outlineLevel="0" collapsed="false">
      <c r="A17" s="15" t="n">
        <v>18</v>
      </c>
      <c r="B17" s="16" t="s">
        <v>80</v>
      </c>
      <c r="C17" s="16" t="s">
        <v>74</v>
      </c>
      <c r="D17" s="16" t="s">
        <v>81</v>
      </c>
      <c r="E17" s="15" t="s">
        <v>33</v>
      </c>
      <c r="F17" s="15" t="s">
        <v>82</v>
      </c>
      <c r="G17" s="16" t="n">
        <f aca="false">DATEDIF(DATE(2020,5,11),DATE(2026,5,21),"Y")</f>
        <v>6</v>
      </c>
      <c r="H17" s="17" t="n">
        <v>83000</v>
      </c>
      <c r="I17" s="17" t="n">
        <v>88000</v>
      </c>
      <c r="J17" s="17" t="n">
        <v>10000</v>
      </c>
      <c r="K17" s="17" t="n">
        <f aca="false">I17+J17</f>
        <v>98000</v>
      </c>
      <c r="L17" s="18" t="n">
        <f aca="false">(I17-H17)/H17</f>
        <v>0.0602409638554217</v>
      </c>
      <c r="M17" s="15" t="n">
        <v>5</v>
      </c>
      <c r="N17" s="15" t="n">
        <v>5</v>
      </c>
      <c r="O17" s="15" t="s">
        <v>47</v>
      </c>
    </row>
    <row r="18" customFormat="false" ht="15" hidden="false" customHeight="false" outlineLevel="0" collapsed="false">
      <c r="A18" s="11" t="n">
        <v>19</v>
      </c>
      <c r="B18" s="12" t="s">
        <v>83</v>
      </c>
      <c r="C18" s="12" t="s">
        <v>74</v>
      </c>
      <c r="D18" s="12" t="s">
        <v>84</v>
      </c>
      <c r="E18" s="11" t="s">
        <v>38</v>
      </c>
      <c r="F18" s="11" t="s">
        <v>85</v>
      </c>
      <c r="G18" s="12" t="n">
        <f aca="false">DATEDIF(DATE(2021,4,6),DATE(2026,5,21),"Y")</f>
        <v>5</v>
      </c>
      <c r="H18" s="13" t="n">
        <v>66000</v>
      </c>
      <c r="I18" s="13" t="n">
        <v>68000</v>
      </c>
      <c r="J18" s="13" t="n">
        <v>6500</v>
      </c>
      <c r="K18" s="13" t="n">
        <f aca="false">I18+J18</f>
        <v>74500</v>
      </c>
      <c r="L18" s="14" t="n">
        <f aca="false">(I18-H18)/H18</f>
        <v>0.0303030303030303</v>
      </c>
      <c r="M18" s="11" t="n">
        <v>4</v>
      </c>
      <c r="N18" s="11" t="n">
        <v>4</v>
      </c>
      <c r="O18" s="11" t="s">
        <v>86</v>
      </c>
    </row>
    <row r="19" customFormat="false" ht="15" hidden="false" customHeight="false" outlineLevel="0" collapsed="false">
      <c r="A19" s="15" t="n">
        <v>20</v>
      </c>
      <c r="B19" s="16" t="s">
        <v>87</v>
      </c>
      <c r="C19" s="16" t="s">
        <v>74</v>
      </c>
      <c r="D19" s="16" t="s">
        <v>84</v>
      </c>
      <c r="E19" s="15" t="s">
        <v>33</v>
      </c>
      <c r="F19" s="15" t="s">
        <v>88</v>
      </c>
      <c r="G19" s="16" t="n">
        <f aca="false">DATEDIF(DATE(2021,9,13),DATE(2026,5,21),"Y")</f>
        <v>4</v>
      </c>
      <c r="H19" s="17" t="n">
        <v>67000</v>
      </c>
      <c r="I19" s="17" t="n">
        <v>71000</v>
      </c>
      <c r="J19" s="17" t="n">
        <v>7000</v>
      </c>
      <c r="K19" s="17" t="n">
        <f aca="false">I19+J19</f>
        <v>78000</v>
      </c>
      <c r="L19" s="18" t="n">
        <f aca="false">(I19-H19)/H19</f>
        <v>0.0597014925373134</v>
      </c>
      <c r="M19" s="15" t="n">
        <v>3</v>
      </c>
      <c r="N19" s="15" t="n">
        <v>4</v>
      </c>
      <c r="O19" s="15" t="s">
        <v>47</v>
      </c>
    </row>
    <row r="20" customFormat="false" ht="15" hidden="false" customHeight="false" outlineLevel="0" collapsed="false">
      <c r="A20" s="11" t="n">
        <v>21</v>
      </c>
      <c r="B20" s="12" t="s">
        <v>89</v>
      </c>
      <c r="C20" s="12" t="s">
        <v>74</v>
      </c>
      <c r="D20" s="12" t="s">
        <v>84</v>
      </c>
      <c r="E20" s="11" t="s">
        <v>90</v>
      </c>
      <c r="F20" s="11" t="s">
        <v>91</v>
      </c>
      <c r="G20" s="12" t="n">
        <f aca="false">DATEDIF(DATE(2022,3,21),DATE(2026,5,21),"Y")</f>
        <v>4</v>
      </c>
      <c r="H20" s="13" t="n">
        <v>62000</v>
      </c>
      <c r="I20" s="13" t="n">
        <v>66000</v>
      </c>
      <c r="J20" s="13" t="n">
        <v>6000</v>
      </c>
      <c r="K20" s="13" t="n">
        <f aca="false">I20+J20</f>
        <v>72000</v>
      </c>
      <c r="L20" s="14" t="n">
        <f aca="false">(I20-H20)/H20</f>
        <v>0.0645161290322581</v>
      </c>
      <c r="M20" s="11" t="n">
        <v>4</v>
      </c>
      <c r="N20" s="11" t="n">
        <v>4</v>
      </c>
      <c r="O20" s="11" t="s">
        <v>86</v>
      </c>
    </row>
    <row r="21" customFormat="false" ht="15" hidden="false" customHeight="false" outlineLevel="0" collapsed="false">
      <c r="A21" s="15" t="n">
        <v>22</v>
      </c>
      <c r="B21" s="16" t="s">
        <v>92</v>
      </c>
      <c r="C21" s="16" t="s">
        <v>74</v>
      </c>
      <c r="D21" s="16" t="s">
        <v>93</v>
      </c>
      <c r="E21" s="15" t="s">
        <v>38</v>
      </c>
      <c r="F21" s="15" t="s">
        <v>94</v>
      </c>
      <c r="G21" s="16" t="n">
        <f aca="false">DATEDIF(DATE(2023,2,9),DATE(2026,5,21),"Y")</f>
        <v>3</v>
      </c>
      <c r="H21" s="17" t="n">
        <v>52000</v>
      </c>
      <c r="I21" s="17" t="n">
        <v>56000</v>
      </c>
      <c r="J21" s="17" t="n">
        <v>4000</v>
      </c>
      <c r="K21" s="17" t="n">
        <f aca="false">I21+J21</f>
        <v>60000</v>
      </c>
      <c r="L21" s="18" t="n">
        <f aca="false">(I21-H21)/H21</f>
        <v>0.0769230769230769</v>
      </c>
      <c r="M21" s="15" t="n">
        <v>3</v>
      </c>
      <c r="N21" s="15" t="n">
        <v>4</v>
      </c>
      <c r="O21" s="15" t="s">
        <v>86</v>
      </c>
    </row>
    <row r="22" customFormat="false" ht="15" hidden="false" customHeight="false" outlineLevel="0" collapsed="false">
      <c r="A22" s="11" t="n">
        <v>23</v>
      </c>
      <c r="B22" s="12" t="s">
        <v>95</v>
      </c>
      <c r="C22" s="12" t="s">
        <v>74</v>
      </c>
      <c r="D22" s="12" t="s">
        <v>93</v>
      </c>
      <c r="E22" s="11" t="s">
        <v>33</v>
      </c>
      <c r="F22" s="11" t="s">
        <v>96</v>
      </c>
      <c r="G22" s="12" t="n">
        <f aca="false">DATEDIF(DATE(2023,6,27),DATE(2026,5,21),"Y")</f>
        <v>2</v>
      </c>
      <c r="H22" s="13" t="n">
        <v>51000</v>
      </c>
      <c r="I22" s="13" t="n">
        <v>55000</v>
      </c>
      <c r="J22" s="13" t="n">
        <v>4000</v>
      </c>
      <c r="K22" s="13" t="n">
        <f aca="false">I22+J22</f>
        <v>59000</v>
      </c>
      <c r="L22" s="14" t="n">
        <f aca="false">(I22-H22)/H22</f>
        <v>0.0784313725490196</v>
      </c>
      <c r="M22" s="11" t="n">
        <v>4</v>
      </c>
      <c r="N22" s="11" t="n">
        <v>4</v>
      </c>
      <c r="O22" s="11" t="s">
        <v>86</v>
      </c>
    </row>
    <row r="23" customFormat="false" ht="15" hidden="false" customHeight="false" outlineLevel="0" collapsed="false">
      <c r="A23" s="15" t="n">
        <v>24</v>
      </c>
      <c r="B23" s="16" t="s">
        <v>97</v>
      </c>
      <c r="C23" s="16" t="s">
        <v>74</v>
      </c>
      <c r="D23" s="16" t="s">
        <v>93</v>
      </c>
      <c r="E23" s="15" t="s">
        <v>33</v>
      </c>
      <c r="F23" s="15" t="s">
        <v>98</v>
      </c>
      <c r="G23" s="16" t="n">
        <f aca="false">DATEDIF(DATE(2024,2,12),DATE(2026,5,21),"Y")</f>
        <v>2</v>
      </c>
      <c r="H23" s="17" t="n">
        <v>50000</v>
      </c>
      <c r="I23" s="17" t="n">
        <v>54000</v>
      </c>
      <c r="J23" s="17" t="n">
        <v>3000</v>
      </c>
      <c r="K23" s="17" t="n">
        <f aca="false">I23+J23</f>
        <v>57000</v>
      </c>
      <c r="L23" s="18" t="n">
        <f aca="false">(I23-H23)/H23</f>
        <v>0.08</v>
      </c>
      <c r="M23" s="15"/>
      <c r="N23" s="15" t="n">
        <v>3</v>
      </c>
      <c r="O23" s="15" t="s">
        <v>86</v>
      </c>
    </row>
    <row r="24" customFormat="false" ht="15" hidden="false" customHeight="false" outlineLevel="0" collapsed="false">
      <c r="A24" s="11" t="n">
        <v>26</v>
      </c>
      <c r="B24" s="12" t="s">
        <v>99</v>
      </c>
      <c r="C24" s="12" t="s">
        <v>100</v>
      </c>
      <c r="D24" s="12" t="s">
        <v>101</v>
      </c>
      <c r="E24" s="11" t="s">
        <v>33</v>
      </c>
      <c r="F24" s="11" t="s">
        <v>102</v>
      </c>
      <c r="G24" s="12" t="n">
        <f aca="false">DATEDIF(DATE(2019,4,22),DATE(2026,5,21),"Y")</f>
        <v>7</v>
      </c>
      <c r="H24" s="13" t="n">
        <v>162000</v>
      </c>
      <c r="I24" s="13" t="n">
        <v>170000</v>
      </c>
      <c r="J24" s="13" t="n">
        <v>27000</v>
      </c>
      <c r="K24" s="13" t="n">
        <f aca="false">I24+J24</f>
        <v>197000</v>
      </c>
      <c r="L24" s="14" t="n">
        <f aca="false">(I24-H24)/H24</f>
        <v>0.0493827160493827</v>
      </c>
      <c r="M24" s="11" t="n">
        <v>5</v>
      </c>
      <c r="N24" s="11" t="n">
        <v>5</v>
      </c>
      <c r="O24" s="11" t="s">
        <v>35</v>
      </c>
    </row>
    <row r="25" customFormat="false" ht="15" hidden="false" customHeight="false" outlineLevel="0" collapsed="false">
      <c r="A25" s="15" t="n">
        <v>27</v>
      </c>
      <c r="B25" s="16" t="s">
        <v>103</v>
      </c>
      <c r="C25" s="16" t="s">
        <v>100</v>
      </c>
      <c r="D25" s="16" t="s">
        <v>104</v>
      </c>
      <c r="E25" s="15" t="s">
        <v>38</v>
      </c>
      <c r="F25" s="15" t="s">
        <v>105</v>
      </c>
      <c r="G25" s="16" t="n">
        <f aca="false">DATEDIF(DATE(2020,7,14),DATE(2026,5,21),"Y")</f>
        <v>5</v>
      </c>
      <c r="H25" s="17" t="n">
        <v>118000</v>
      </c>
      <c r="I25" s="17" t="n">
        <v>124000</v>
      </c>
      <c r="J25" s="17" t="n">
        <v>19000</v>
      </c>
      <c r="K25" s="17" t="n">
        <f aca="false">I25+J25</f>
        <v>143000</v>
      </c>
      <c r="L25" s="18" t="n">
        <f aca="false">(I25-H25)/H25</f>
        <v>0.0508474576271187</v>
      </c>
      <c r="M25" s="15" t="n">
        <v>4</v>
      </c>
      <c r="N25" s="15" t="n">
        <v>4</v>
      </c>
      <c r="O25" s="15" t="s">
        <v>43</v>
      </c>
    </row>
    <row r="26" customFormat="false" ht="15" hidden="false" customHeight="false" outlineLevel="0" collapsed="false">
      <c r="A26" s="11" t="n">
        <v>28</v>
      </c>
      <c r="B26" s="12" t="s">
        <v>106</v>
      </c>
      <c r="C26" s="12" t="s">
        <v>100</v>
      </c>
      <c r="D26" s="12" t="s">
        <v>107</v>
      </c>
      <c r="E26" s="11" t="s">
        <v>33</v>
      </c>
      <c r="F26" s="11" t="s">
        <v>108</v>
      </c>
      <c r="G26" s="12" t="n">
        <f aca="false">DATEDIF(DATE(2021,8,9),DATE(2026,5,21),"Y")</f>
        <v>4</v>
      </c>
      <c r="H26" s="13" t="n">
        <v>87000</v>
      </c>
      <c r="I26" s="13" t="n">
        <v>89000</v>
      </c>
      <c r="J26" s="13" t="n">
        <v>10500</v>
      </c>
      <c r="K26" s="13" t="n">
        <f aca="false">I26+J26</f>
        <v>99500</v>
      </c>
      <c r="L26" s="14" t="n">
        <f aca="false">(I26-H26)/H26</f>
        <v>0.0229885057471264</v>
      </c>
      <c r="M26" s="11" t="n">
        <v>4</v>
      </c>
      <c r="N26" s="11" t="n">
        <v>4</v>
      </c>
      <c r="O26" s="11" t="s">
        <v>47</v>
      </c>
    </row>
    <row r="27" customFormat="false" ht="15" hidden="false" customHeight="false" outlineLevel="0" collapsed="false">
      <c r="A27" s="15" t="n">
        <v>29</v>
      </c>
      <c r="B27" s="16" t="s">
        <v>109</v>
      </c>
      <c r="C27" s="16" t="s">
        <v>100</v>
      </c>
      <c r="D27" s="16" t="s">
        <v>110</v>
      </c>
      <c r="E27" s="15" t="s">
        <v>38</v>
      </c>
      <c r="F27" s="15" t="s">
        <v>111</v>
      </c>
      <c r="G27" s="16" t="n">
        <f aca="false">DATEDIF(DATE(2022,5,30),DATE(2026,5,21),"Y")</f>
        <v>3</v>
      </c>
      <c r="H27" s="17" t="n">
        <v>73000</v>
      </c>
      <c r="I27" s="17" t="n">
        <v>78000</v>
      </c>
      <c r="J27" s="17" t="n">
        <v>8000</v>
      </c>
      <c r="K27" s="17" t="n">
        <f aca="false">I27+J27</f>
        <v>86000</v>
      </c>
      <c r="L27" s="18" t="n">
        <f aca="false">(I27-H27)/H27</f>
        <v>0.0684931506849315</v>
      </c>
      <c r="M27" s="15" t="n">
        <v>3</v>
      </c>
      <c r="N27" s="15" t="n">
        <v>4</v>
      </c>
      <c r="O27" s="15" t="s">
        <v>47</v>
      </c>
    </row>
    <row r="28" customFormat="false" ht="15" hidden="false" customHeight="false" outlineLevel="0" collapsed="false">
      <c r="A28" s="11" t="n">
        <v>30</v>
      </c>
      <c r="B28" s="12" t="s">
        <v>112</v>
      </c>
      <c r="C28" s="12" t="s">
        <v>100</v>
      </c>
      <c r="D28" s="12" t="s">
        <v>113</v>
      </c>
      <c r="E28" s="11" t="s">
        <v>33</v>
      </c>
      <c r="F28" s="11" t="s">
        <v>114</v>
      </c>
      <c r="G28" s="12" t="n">
        <f aca="false">DATEDIF(DATE(2023,3,13),DATE(2026,5,21),"Y")</f>
        <v>3</v>
      </c>
      <c r="H28" s="13" t="n">
        <v>70000</v>
      </c>
      <c r="I28" s="13" t="n">
        <v>75000</v>
      </c>
      <c r="J28" s="13" t="n">
        <v>6000</v>
      </c>
      <c r="K28" s="13" t="n">
        <f aca="false">I28+J28</f>
        <v>81000</v>
      </c>
      <c r="L28" s="14" t="n">
        <f aca="false">(I28-H28)/H28</f>
        <v>0.0714285714285714</v>
      </c>
      <c r="M28" s="11" t="n">
        <v>4</v>
      </c>
      <c r="N28" s="11" t="n">
        <v>4</v>
      </c>
      <c r="O28" s="11" t="s">
        <v>47</v>
      </c>
    </row>
    <row r="29" customFormat="false" ht="15" hidden="false" customHeight="false" outlineLevel="0" collapsed="false">
      <c r="A29" s="15" t="n">
        <v>31</v>
      </c>
      <c r="B29" s="16" t="s">
        <v>115</v>
      </c>
      <c r="C29" s="16" t="s">
        <v>100</v>
      </c>
      <c r="D29" s="16" t="s">
        <v>116</v>
      </c>
      <c r="E29" s="15" t="s">
        <v>38</v>
      </c>
      <c r="F29" s="15" t="s">
        <v>117</v>
      </c>
      <c r="G29" s="16" t="n">
        <f aca="false">DATEDIF(DATE(2023,10,2),DATE(2026,5,21),"Y")</f>
        <v>2</v>
      </c>
      <c r="H29" s="17" t="n">
        <v>67000</v>
      </c>
      <c r="I29" s="17" t="n">
        <v>72000</v>
      </c>
      <c r="J29" s="17" t="n">
        <v>5000</v>
      </c>
      <c r="K29" s="17" t="n">
        <f aca="false">I29+J29</f>
        <v>77000</v>
      </c>
      <c r="L29" s="18" t="n">
        <f aca="false">(I29-H29)/H29</f>
        <v>0.0746268656716418</v>
      </c>
      <c r="M29" s="15" t="n">
        <v>3</v>
      </c>
      <c r="N29" s="15" t="n">
        <v>4</v>
      </c>
      <c r="O29" s="15" t="s">
        <v>47</v>
      </c>
    </row>
    <row r="30" customFormat="false" ht="15" hidden="false" customHeight="false" outlineLevel="0" collapsed="false">
      <c r="A30" s="11" t="n">
        <v>33</v>
      </c>
      <c r="B30" s="12" t="s">
        <v>118</v>
      </c>
      <c r="C30" s="12" t="s">
        <v>119</v>
      </c>
      <c r="D30" s="12" t="s">
        <v>120</v>
      </c>
      <c r="E30" s="11" t="s">
        <v>38</v>
      </c>
      <c r="F30" s="11" t="s">
        <v>121</v>
      </c>
      <c r="G30" s="12" t="n">
        <f aca="false">DATEDIF(DATE(2018,2,26),DATE(2026,5,21),"Y")</f>
        <v>8</v>
      </c>
      <c r="H30" s="13" t="n">
        <v>252000</v>
      </c>
      <c r="I30" s="13" t="n">
        <v>265000</v>
      </c>
      <c r="J30" s="13" t="n">
        <v>65000</v>
      </c>
      <c r="K30" s="13" t="n">
        <f aca="false">I30+J30</f>
        <v>330000</v>
      </c>
      <c r="L30" s="14" t="n">
        <f aca="false">(I30-H30)/H30</f>
        <v>0.0515873015873016</v>
      </c>
      <c r="M30" s="11" t="n">
        <v>5</v>
      </c>
      <c r="N30" s="11" t="n">
        <v>5</v>
      </c>
      <c r="O30" s="11" t="s">
        <v>35</v>
      </c>
    </row>
    <row r="31" customFormat="false" ht="15" hidden="false" customHeight="false" outlineLevel="0" collapsed="false">
      <c r="A31" s="15" t="n">
        <v>34</v>
      </c>
      <c r="B31" s="16" t="s">
        <v>122</v>
      </c>
      <c r="C31" s="16" t="s">
        <v>119</v>
      </c>
      <c r="D31" s="16" t="s">
        <v>123</v>
      </c>
      <c r="E31" s="15" t="s">
        <v>33</v>
      </c>
      <c r="F31" s="15" t="s">
        <v>124</v>
      </c>
      <c r="G31" s="16" t="n">
        <f aca="false">DATEDIF(DATE(2020,1,8),DATE(2026,5,21),"Y")</f>
        <v>6</v>
      </c>
      <c r="H31" s="17" t="n">
        <v>137000</v>
      </c>
      <c r="I31" s="17" t="n">
        <v>145000</v>
      </c>
      <c r="J31" s="17" t="n">
        <v>25000</v>
      </c>
      <c r="K31" s="17" t="n">
        <f aca="false">I31+J31</f>
        <v>170000</v>
      </c>
      <c r="L31" s="18" t="n">
        <f aca="false">(I31-H31)/H31</f>
        <v>0.0583941605839416</v>
      </c>
      <c r="M31" s="15" t="n">
        <v>4</v>
      </c>
      <c r="N31" s="15" t="n">
        <v>5</v>
      </c>
      <c r="O31" s="15" t="s">
        <v>43</v>
      </c>
    </row>
    <row r="32" customFormat="false" ht="15" hidden="false" customHeight="false" outlineLevel="0" collapsed="false">
      <c r="A32" s="11" t="n">
        <v>35</v>
      </c>
      <c r="B32" s="12" t="s">
        <v>125</v>
      </c>
      <c r="C32" s="12" t="s">
        <v>119</v>
      </c>
      <c r="D32" s="12" t="s">
        <v>126</v>
      </c>
      <c r="E32" s="11" t="s">
        <v>38</v>
      </c>
      <c r="F32" s="11" t="s">
        <v>127</v>
      </c>
      <c r="G32" s="12" t="n">
        <f aca="false">DATEDIF(DATE(2021,7,19),DATE(2026,5,21),"Y")</f>
        <v>4</v>
      </c>
      <c r="H32" s="13" t="n">
        <v>100000</v>
      </c>
      <c r="I32" s="13" t="n">
        <v>103000</v>
      </c>
      <c r="J32" s="13" t="n">
        <v>13000</v>
      </c>
      <c r="K32" s="13" t="n">
        <f aca="false">I32+J32</f>
        <v>116000</v>
      </c>
      <c r="L32" s="14" t="n">
        <f aca="false">(I32-H32)/H32</f>
        <v>0.03</v>
      </c>
      <c r="M32" s="11" t="n">
        <v>5</v>
      </c>
      <c r="N32" s="11" t="n">
        <v>5</v>
      </c>
      <c r="O32" s="11" t="s">
        <v>47</v>
      </c>
    </row>
    <row r="33" customFormat="false" ht="15" hidden="false" customHeight="false" outlineLevel="0" collapsed="false">
      <c r="A33" s="15" t="n">
        <v>36</v>
      </c>
      <c r="B33" s="16" t="s">
        <v>128</v>
      </c>
      <c r="C33" s="16" t="s">
        <v>119</v>
      </c>
      <c r="D33" s="16" t="s">
        <v>129</v>
      </c>
      <c r="E33" s="15" t="s">
        <v>33</v>
      </c>
      <c r="F33" s="15" t="s">
        <v>130</v>
      </c>
      <c r="G33" s="16" t="n">
        <f aca="false">DATEDIF(DATE(2023,5,22),DATE(2026,5,21),"Y")</f>
        <v>2</v>
      </c>
      <c r="H33" s="17" t="n">
        <v>78000</v>
      </c>
      <c r="I33" s="17" t="n">
        <v>84000</v>
      </c>
      <c r="J33" s="17" t="n">
        <v>8000</v>
      </c>
      <c r="K33" s="17" t="n">
        <f aca="false">I33+J33</f>
        <v>92000</v>
      </c>
      <c r="L33" s="18" t="n">
        <f aca="false">(I33-H33)/H33</f>
        <v>0.0769230769230769</v>
      </c>
      <c r="M33" s="15" t="n">
        <v>4</v>
      </c>
      <c r="N33" s="15" t="n">
        <v>4</v>
      </c>
      <c r="O33" s="15" t="s">
        <v>47</v>
      </c>
    </row>
    <row r="34" customFormat="false" ht="15" hidden="false" customHeight="false" outlineLevel="0" collapsed="false">
      <c r="A34" s="11" t="n">
        <v>37</v>
      </c>
      <c r="B34" s="12" t="s">
        <v>131</v>
      </c>
      <c r="C34" s="12" t="s">
        <v>119</v>
      </c>
      <c r="D34" s="12" t="s">
        <v>129</v>
      </c>
      <c r="E34" s="11" t="s">
        <v>38</v>
      </c>
      <c r="F34" s="11" t="s">
        <v>132</v>
      </c>
      <c r="G34" s="12" t="n">
        <f aca="false">DATEDIF(DATE(2024,7,8),DATE(2026,5,21),"Y")</f>
        <v>1</v>
      </c>
      <c r="H34" s="13" t="n">
        <v>70000</v>
      </c>
      <c r="I34" s="13" t="n">
        <v>76000</v>
      </c>
      <c r="J34" s="13" t="n">
        <v>6000</v>
      </c>
      <c r="K34" s="13" t="n">
        <f aca="false">I34+J34</f>
        <v>82000</v>
      </c>
      <c r="L34" s="14" t="n">
        <f aca="false">(I34-H34)/H34</f>
        <v>0.0857142857142857</v>
      </c>
      <c r="M34" s="11"/>
      <c r="N34" s="11" t="n">
        <v>3</v>
      </c>
      <c r="O34" s="11" t="s">
        <v>47</v>
      </c>
    </row>
    <row r="35" customFormat="false" ht="15" hidden="false" customHeight="false" outlineLevel="0" collapsed="false">
      <c r="A35" s="15" t="n">
        <v>38</v>
      </c>
      <c r="B35" s="16" t="s">
        <v>133</v>
      </c>
      <c r="C35" s="16" t="s">
        <v>134</v>
      </c>
      <c r="D35" s="16" t="s">
        <v>135</v>
      </c>
      <c r="E35" s="15" t="s">
        <v>33</v>
      </c>
      <c r="F35" s="15" t="s">
        <v>136</v>
      </c>
      <c r="G35" s="16" t="n">
        <f aca="false">DATEDIF(DATE(2018,10,15),DATE(2026,5,21),"Y")</f>
        <v>7</v>
      </c>
      <c r="H35" s="17" t="n">
        <v>188000</v>
      </c>
      <c r="I35" s="17" t="n">
        <v>198000</v>
      </c>
      <c r="J35" s="17" t="n">
        <v>30000</v>
      </c>
      <c r="K35" s="17" t="n">
        <f aca="false">I35+J35</f>
        <v>228000</v>
      </c>
      <c r="L35" s="18" t="n">
        <f aca="false">(I35-H35)/H35</f>
        <v>0.0531914893617021</v>
      </c>
      <c r="M35" s="15" t="n">
        <v>5</v>
      </c>
      <c r="N35" s="15" t="n">
        <v>5</v>
      </c>
      <c r="O35" s="15" t="s">
        <v>35</v>
      </c>
    </row>
    <row r="36" customFormat="false" ht="15" hidden="false" customHeight="false" outlineLevel="0" collapsed="false">
      <c r="A36" s="11" t="n">
        <v>39</v>
      </c>
      <c r="B36" s="12" t="s">
        <v>137</v>
      </c>
      <c r="C36" s="12" t="s">
        <v>134</v>
      </c>
      <c r="D36" s="12" t="s">
        <v>138</v>
      </c>
      <c r="E36" s="11" t="s">
        <v>38</v>
      </c>
      <c r="F36" s="11" t="s">
        <v>139</v>
      </c>
      <c r="G36" s="12" t="n">
        <f aca="false">DATEDIF(DATE(2020,4,3),DATE(2026,5,21),"Y")</f>
        <v>6</v>
      </c>
      <c r="H36" s="13" t="n">
        <v>116000</v>
      </c>
      <c r="I36" s="13" t="n">
        <v>122000</v>
      </c>
      <c r="J36" s="13" t="n">
        <v>17000</v>
      </c>
      <c r="K36" s="13" t="n">
        <f aca="false">I36+J36</f>
        <v>139000</v>
      </c>
      <c r="L36" s="14" t="n">
        <f aca="false">(I36-H36)/H36</f>
        <v>0.0517241379310345</v>
      </c>
      <c r="M36" s="11" t="n">
        <v>4</v>
      </c>
      <c r="N36" s="11" t="n">
        <v>4</v>
      </c>
      <c r="O36" s="11" t="s">
        <v>43</v>
      </c>
    </row>
    <row r="37" customFormat="false" ht="15" hidden="false" customHeight="false" outlineLevel="0" collapsed="false">
      <c r="A37" s="15" t="n">
        <v>40</v>
      </c>
      <c r="B37" s="16" t="s">
        <v>140</v>
      </c>
      <c r="C37" s="16" t="s">
        <v>134</v>
      </c>
      <c r="D37" s="16" t="s">
        <v>141</v>
      </c>
      <c r="E37" s="15" t="s">
        <v>33</v>
      </c>
      <c r="F37" s="15" t="s">
        <v>142</v>
      </c>
      <c r="G37" s="16" t="n">
        <f aca="false">DATEDIF(DATE(2022,11,28),DATE(2026,5,21),"Y")</f>
        <v>3</v>
      </c>
      <c r="H37" s="17" t="n">
        <v>83000</v>
      </c>
      <c r="I37" s="17" t="n">
        <v>88000</v>
      </c>
      <c r="J37" s="17" t="n">
        <v>10000</v>
      </c>
      <c r="K37" s="17" t="n">
        <f aca="false">I37+J37</f>
        <v>98000</v>
      </c>
      <c r="L37" s="18" t="n">
        <f aca="false">(I37-H37)/H37</f>
        <v>0.0602409638554217</v>
      </c>
      <c r="M37" s="15" t="n">
        <v>4</v>
      </c>
      <c r="N37" s="15" t="n">
        <v>5</v>
      </c>
      <c r="O37" s="15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2"/>
    <col collapsed="false" customWidth="true" hidden="false" outlineLevel="0" max="4" min="3" style="0" width="18"/>
    <col collapsed="false" customWidth="true" hidden="false" outlineLevel="0" max="5" min="5" style="0" width="14"/>
  </cols>
  <sheetData>
    <row r="2" customFormat="false" ht="24.45" hidden="false" customHeight="false" outlineLevel="0" collapsed="false">
      <c r="B2" s="1" t="s">
        <v>143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B3" s="2" t="s">
        <v>144</v>
      </c>
      <c r="C3" s="2"/>
      <c r="D3" s="2"/>
      <c r="E3" s="2"/>
      <c r="F3" s="2"/>
      <c r="G3" s="2"/>
      <c r="H3" s="2"/>
    </row>
    <row r="5" customFormat="false" ht="16.15" hidden="false" customHeight="false" outlineLevel="0" collapsed="false">
      <c r="B5" s="8" t="s">
        <v>145</v>
      </c>
    </row>
    <row r="6" customFormat="false" ht="15" hidden="false" customHeight="false" outlineLevel="0" collapsed="false">
      <c r="B6" s="10" t="s">
        <v>17</v>
      </c>
      <c r="C6" s="10" t="s">
        <v>146</v>
      </c>
    </row>
    <row r="7" customFormat="false" ht="15" hidden="false" customHeight="false" outlineLevel="0" collapsed="false">
      <c r="B7" s="16" t="s">
        <v>31</v>
      </c>
      <c r="C7" s="15" t="n">
        <f aca="false">COUNTIF('Employee Data'!C2:C37,B7)</f>
        <v>7</v>
      </c>
    </row>
    <row r="8" customFormat="false" ht="15" hidden="false" customHeight="false" outlineLevel="0" collapsed="false">
      <c r="B8" s="16" t="s">
        <v>56</v>
      </c>
      <c r="C8" s="15" t="n">
        <f aca="false">COUNTIF('Employee Data'!C2:C37,B8)</f>
        <v>6</v>
      </c>
    </row>
    <row r="9" customFormat="false" ht="15" hidden="false" customHeight="false" outlineLevel="0" collapsed="false">
      <c r="B9" s="16" t="s">
        <v>74</v>
      </c>
      <c r="C9" s="15" t="n">
        <f aca="false">COUNTIF('Employee Data'!C2:C37,B9)</f>
        <v>9</v>
      </c>
    </row>
    <row r="10" customFormat="false" ht="15" hidden="false" customHeight="false" outlineLevel="0" collapsed="false">
      <c r="B10" s="16" t="s">
        <v>100</v>
      </c>
      <c r="C10" s="15" t="n">
        <f aca="false">COUNTIF('Employee Data'!C2:C37,B10)</f>
        <v>6</v>
      </c>
    </row>
    <row r="11" customFormat="false" ht="15" hidden="false" customHeight="false" outlineLevel="0" collapsed="false">
      <c r="B11" s="16" t="s">
        <v>119</v>
      </c>
      <c r="C11" s="15" t="n">
        <f aca="false">COUNTIF('Employee Data'!C2:C37,B11)</f>
        <v>5</v>
      </c>
    </row>
    <row r="12" customFormat="false" ht="15" hidden="false" customHeight="false" outlineLevel="0" collapsed="false">
      <c r="B12" s="16" t="s">
        <v>134</v>
      </c>
      <c r="C12" s="15" t="n">
        <f aca="false">COUNTIF('Employee Data'!C2:C37,B12)</f>
        <v>3</v>
      </c>
    </row>
    <row r="13" customFormat="false" ht="15" hidden="false" customHeight="false" outlineLevel="0" collapsed="false">
      <c r="B13" s="19" t="s">
        <v>147</v>
      </c>
      <c r="C13" s="20" t="n">
        <f aca="false">SUM(C7:C12)</f>
        <v>36</v>
      </c>
    </row>
    <row r="16" customFormat="false" ht="16.15" hidden="false" customHeight="false" outlineLevel="0" collapsed="false">
      <c r="B16" s="8" t="s">
        <v>148</v>
      </c>
    </row>
    <row r="17" customFormat="false" ht="15" hidden="false" customHeight="false" outlineLevel="0" collapsed="false">
      <c r="B17" s="10" t="s">
        <v>17</v>
      </c>
      <c r="C17" s="10" t="s">
        <v>149</v>
      </c>
      <c r="D17" s="10" t="s">
        <v>150</v>
      </c>
    </row>
    <row r="18" customFormat="false" ht="15" hidden="false" customHeight="false" outlineLevel="0" collapsed="false">
      <c r="B18" s="16" t="s">
        <v>31</v>
      </c>
      <c r="C18" s="17" t="n">
        <f aca="false">AVERAGEIF('Employee Data'!C2:C37,B18,'Employee Data'!I2:I37)</f>
        <v>126142.857142857</v>
      </c>
      <c r="D18" s="17" t="n">
        <f aca="false">AVERAGEIF('Employee Data'!C2:C37,B18,'Employee Data'!K2:K37)</f>
        <v>143928.571428571</v>
      </c>
    </row>
    <row r="19" customFormat="false" ht="15" hidden="false" customHeight="false" outlineLevel="0" collapsed="false">
      <c r="B19" s="16" t="s">
        <v>56</v>
      </c>
      <c r="C19" s="17" t="n">
        <f aca="false">AVERAGEIF('Employee Data'!C2:C37,B19,'Employee Data'!I2:I37)</f>
        <v>120833.333333333</v>
      </c>
      <c r="D19" s="17" t="n">
        <f aca="false">AVERAGEIF('Employee Data'!C2:C37,B19,'Employee Data'!K2:K37)</f>
        <v>162833.333333333</v>
      </c>
    </row>
    <row r="20" customFormat="false" ht="15" hidden="false" customHeight="false" outlineLevel="0" collapsed="false">
      <c r="B20" s="16" t="s">
        <v>74</v>
      </c>
      <c r="C20" s="17" t="n">
        <f aca="false">AVERAGEIF('Employee Data'!C2:C37,B20,'Employee Data'!I2:I37)</f>
        <v>85111.1111111111</v>
      </c>
      <c r="D20" s="17" t="n">
        <f aca="false">AVERAGEIF('Employee Data'!C2:C37,B20,'Employee Data'!K2:K37)</f>
        <v>95055.5555555556</v>
      </c>
    </row>
    <row r="21" customFormat="false" ht="15" hidden="false" customHeight="false" outlineLevel="0" collapsed="false">
      <c r="B21" s="16" t="s">
        <v>100</v>
      </c>
      <c r="C21" s="17" t="n">
        <f aca="false">AVERAGEIF('Employee Data'!C2:C37,B21,'Employee Data'!I2:I37)</f>
        <v>101333.333333333</v>
      </c>
      <c r="D21" s="17" t="n">
        <f aca="false">AVERAGEIF('Employee Data'!C2:C37,B21,'Employee Data'!K2:K37)</f>
        <v>113916.666666667</v>
      </c>
    </row>
    <row r="22" customFormat="false" ht="15" hidden="false" customHeight="false" outlineLevel="0" collapsed="false">
      <c r="B22" s="16" t="s">
        <v>119</v>
      </c>
      <c r="C22" s="17" t="n">
        <f aca="false">AVERAGEIF('Employee Data'!C2:C37,B22,'Employee Data'!I2:I37)</f>
        <v>134600</v>
      </c>
      <c r="D22" s="17" t="n">
        <f aca="false">AVERAGEIF('Employee Data'!C2:C37,B22,'Employee Data'!K2:K37)</f>
        <v>158000</v>
      </c>
    </row>
    <row r="23" customFormat="false" ht="15" hidden="false" customHeight="false" outlineLevel="0" collapsed="false">
      <c r="B23" s="16" t="s">
        <v>134</v>
      </c>
      <c r="C23" s="17" t="n">
        <f aca="false">AVERAGEIF('Employee Data'!C2:C37,B23,'Employee Data'!I2:I37)</f>
        <v>136000</v>
      </c>
      <c r="D23" s="17" t="n">
        <f aca="false">AVERAGEIF('Employee Data'!C2:C37,B23,'Employee Data'!K2:K37)</f>
        <v>155000</v>
      </c>
    </row>
    <row r="26" customFormat="false" ht="16.15" hidden="false" customHeight="false" outlineLevel="0" collapsed="false">
      <c r="B26" s="8" t="s">
        <v>151</v>
      </c>
    </row>
    <row r="27" customFormat="false" ht="15" hidden="false" customHeight="false" outlineLevel="0" collapsed="false">
      <c r="B27" s="10" t="s">
        <v>152</v>
      </c>
      <c r="C27" s="10" t="s">
        <v>153</v>
      </c>
      <c r="D27" s="10" t="s">
        <v>154</v>
      </c>
      <c r="E27" s="10" t="s">
        <v>155</v>
      </c>
    </row>
    <row r="28" customFormat="false" ht="15" hidden="false" customHeight="false" outlineLevel="0" collapsed="false">
      <c r="B28" s="15" t="n">
        <v>2023</v>
      </c>
      <c r="C28" s="15" t="n">
        <v>1</v>
      </c>
      <c r="D28" s="15" t="n">
        <v>30</v>
      </c>
      <c r="E28" s="21" t="n">
        <v>0.033</v>
      </c>
    </row>
    <row r="29" customFormat="false" ht="15" hidden="false" customHeight="false" outlineLevel="0" collapsed="false">
      <c r="B29" s="15" t="n">
        <v>2024</v>
      </c>
      <c r="C29" s="15" t="n">
        <v>3</v>
      </c>
      <c r="D29" s="15" t="n">
        <v>36</v>
      </c>
      <c r="E29" s="21" t="n">
        <v>0.083</v>
      </c>
    </row>
    <row r="30" customFormat="false" ht="15" hidden="false" customHeight="false" outlineLevel="0" collapsed="false">
      <c r="B30" s="15" t="n">
        <v>2025</v>
      </c>
      <c r="C30" s="15" t="n">
        <v>0</v>
      </c>
      <c r="D30" s="15" t="n">
        <v>36</v>
      </c>
      <c r="E30" s="21" t="n">
        <v>0</v>
      </c>
    </row>
    <row r="33" customFormat="false" ht="16.15" hidden="false" customHeight="false" outlineLevel="0" collapsed="false">
      <c r="B33" s="8" t="s">
        <v>156</v>
      </c>
    </row>
    <row r="34" customFormat="false" ht="15" hidden="false" customHeight="false" outlineLevel="0" collapsed="false">
      <c r="B34" s="10" t="s">
        <v>157</v>
      </c>
      <c r="C34" s="10" t="s">
        <v>158</v>
      </c>
    </row>
    <row r="35" customFormat="false" ht="15" hidden="false" customHeight="false" outlineLevel="0" collapsed="false">
      <c r="B35" s="16" t="s">
        <v>86</v>
      </c>
      <c r="C35" s="15" t="n">
        <f aca="false">COUNTIF('Employee Data'!O2:O37,B35)</f>
        <v>5</v>
      </c>
    </row>
    <row r="36" customFormat="false" ht="15" hidden="false" customHeight="false" outlineLevel="0" collapsed="false">
      <c r="B36" s="16" t="s">
        <v>47</v>
      </c>
      <c r="C36" s="15" t="n">
        <f aca="false">COUNTIF('Employee Data'!O2:O37,B36)</f>
        <v>18</v>
      </c>
    </row>
    <row r="37" customFormat="false" ht="15" hidden="false" customHeight="false" outlineLevel="0" collapsed="false">
      <c r="B37" s="16" t="s">
        <v>43</v>
      </c>
      <c r="C37" s="15" t="n">
        <f aca="false">COUNTIF('Employee Data'!O2:O37,B37)</f>
        <v>6</v>
      </c>
    </row>
    <row r="38" customFormat="false" ht="15" hidden="false" customHeight="false" outlineLevel="0" collapsed="false">
      <c r="B38" s="16" t="s">
        <v>35</v>
      </c>
      <c r="C38" s="15" t="n">
        <f aca="false">COUNTIF('Employee Data'!O2:O37,B38)</f>
        <v>7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2" style="0" width="2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4"/>
  </cols>
  <sheetData>
    <row r="2" customFormat="false" ht="24.45" hidden="false" customHeight="false" outlineLevel="0" collapsed="false">
      <c r="B2" s="1" t="s">
        <v>159</v>
      </c>
      <c r="C2" s="1"/>
      <c r="D2" s="1"/>
      <c r="E2" s="1"/>
      <c r="F2" s="1"/>
      <c r="G2" s="1"/>
    </row>
    <row r="3" customFormat="false" ht="15" hidden="false" customHeight="false" outlineLevel="0" collapsed="false">
      <c r="B3" s="2" t="s">
        <v>160</v>
      </c>
      <c r="C3" s="2"/>
      <c r="D3" s="2"/>
      <c r="E3" s="2"/>
      <c r="F3" s="2"/>
      <c r="G3" s="2"/>
    </row>
    <row r="5" customFormat="false" ht="16.15" hidden="false" customHeight="false" outlineLevel="0" collapsed="false">
      <c r="B5" s="8" t="s">
        <v>161</v>
      </c>
    </row>
    <row r="6" customFormat="false" ht="15" hidden="false" customHeight="false" outlineLevel="0" collapsed="false">
      <c r="B6" s="10" t="s">
        <v>162</v>
      </c>
      <c r="C6" s="10" t="s">
        <v>17</v>
      </c>
      <c r="D6" s="10" t="s">
        <v>18</v>
      </c>
    </row>
    <row r="7" customFormat="false" ht="15" hidden="false" customHeight="false" outlineLevel="0" collapsed="false">
      <c r="B7" s="16" t="s">
        <v>30</v>
      </c>
      <c r="C7" s="16" t="s">
        <v>31</v>
      </c>
      <c r="D7" s="16" t="s">
        <v>32</v>
      </c>
    </row>
    <row r="8" customFormat="false" ht="15" hidden="false" customHeight="false" outlineLevel="0" collapsed="false">
      <c r="B8" s="12" t="s">
        <v>40</v>
      </c>
      <c r="C8" s="12" t="s">
        <v>31</v>
      </c>
      <c r="D8" s="12" t="s">
        <v>41</v>
      </c>
    </row>
    <row r="9" customFormat="false" ht="15" hidden="false" customHeight="false" outlineLevel="0" collapsed="false">
      <c r="B9" s="16" t="s">
        <v>48</v>
      </c>
      <c r="C9" s="16" t="s">
        <v>31</v>
      </c>
      <c r="D9" s="16" t="s">
        <v>45</v>
      </c>
    </row>
    <row r="10" customFormat="false" ht="15" hidden="false" customHeight="false" outlineLevel="0" collapsed="false">
      <c r="B10" s="12" t="s">
        <v>55</v>
      </c>
      <c r="C10" s="12" t="s">
        <v>56</v>
      </c>
      <c r="D10" s="12" t="s">
        <v>57</v>
      </c>
    </row>
    <row r="11" customFormat="false" ht="15" hidden="false" customHeight="false" outlineLevel="0" collapsed="false">
      <c r="B11" s="16" t="s">
        <v>80</v>
      </c>
      <c r="C11" s="16" t="s">
        <v>74</v>
      </c>
      <c r="D11" s="16" t="s">
        <v>81</v>
      </c>
    </row>
    <row r="12" customFormat="false" ht="15" hidden="false" customHeight="false" outlineLevel="0" collapsed="false">
      <c r="B12" s="12" t="s">
        <v>99</v>
      </c>
      <c r="C12" s="12" t="s">
        <v>100</v>
      </c>
      <c r="D12" s="12" t="s">
        <v>101</v>
      </c>
    </row>
    <row r="13" customFormat="false" ht="15" hidden="false" customHeight="false" outlineLevel="0" collapsed="false">
      <c r="B13" s="16" t="s">
        <v>118</v>
      </c>
      <c r="C13" s="16" t="s">
        <v>119</v>
      </c>
      <c r="D13" s="16" t="s">
        <v>120</v>
      </c>
    </row>
    <row r="14" customFormat="false" ht="15" hidden="false" customHeight="false" outlineLevel="0" collapsed="false">
      <c r="B14" s="12" t="s">
        <v>125</v>
      </c>
      <c r="C14" s="12" t="s">
        <v>119</v>
      </c>
      <c r="D14" s="12" t="s">
        <v>126</v>
      </c>
    </row>
    <row r="15" customFormat="false" ht="15" hidden="false" customHeight="false" outlineLevel="0" collapsed="false">
      <c r="B15" s="16" t="s">
        <v>133</v>
      </c>
      <c r="C15" s="16" t="s">
        <v>134</v>
      </c>
      <c r="D15" s="16" t="s">
        <v>135</v>
      </c>
    </row>
    <row r="18" customFormat="false" ht="16.15" hidden="false" customHeight="false" outlineLevel="0" collapsed="false">
      <c r="B18" s="8" t="s">
        <v>163</v>
      </c>
    </row>
    <row r="19" customFormat="false" ht="15" hidden="false" customHeight="false" outlineLevel="0" collapsed="false">
      <c r="B19" s="10" t="s">
        <v>162</v>
      </c>
      <c r="C19" s="10" t="s">
        <v>17</v>
      </c>
      <c r="D19" s="10" t="s">
        <v>28</v>
      </c>
      <c r="E19" s="10" t="s">
        <v>26</v>
      </c>
    </row>
    <row r="20" customFormat="false" ht="15" hidden="false" customHeight="false" outlineLevel="0" collapsed="false">
      <c r="B20" s="22" t="s">
        <v>48</v>
      </c>
      <c r="C20" s="11" t="s">
        <v>31</v>
      </c>
      <c r="D20" s="11" t="n">
        <v>5</v>
      </c>
      <c r="E20" s="23" t="n">
        <v>0.0212765957446809</v>
      </c>
    </row>
    <row r="21" customFormat="false" ht="15" hidden="false" customHeight="false" outlineLevel="0" collapsed="false">
      <c r="B21" s="24" t="s">
        <v>65</v>
      </c>
      <c r="C21" s="15" t="s">
        <v>56</v>
      </c>
      <c r="D21" s="15" t="n">
        <v>4</v>
      </c>
      <c r="E21" s="25" t="n">
        <v>0.0227272727272727</v>
      </c>
    </row>
    <row r="22" customFormat="false" ht="15" hidden="false" customHeight="false" outlineLevel="0" collapsed="false">
      <c r="B22" s="22" t="s">
        <v>106</v>
      </c>
      <c r="C22" s="11" t="s">
        <v>100</v>
      </c>
      <c r="D22" s="11" t="n">
        <v>4</v>
      </c>
      <c r="E22" s="23" t="n">
        <v>0.0229885057471264</v>
      </c>
    </row>
    <row r="23" customFormat="false" ht="15" hidden="false" customHeight="false" outlineLevel="0" collapsed="false">
      <c r="B23" s="24" t="s">
        <v>125</v>
      </c>
      <c r="C23" s="15" t="s">
        <v>119</v>
      </c>
      <c r="D23" s="15" t="n">
        <v>5</v>
      </c>
      <c r="E23" s="25" t="n">
        <v>0.03</v>
      </c>
    </row>
    <row r="24" customFormat="false" ht="15" hidden="false" customHeight="false" outlineLevel="0" collapsed="false">
      <c r="B24" s="22" t="s">
        <v>83</v>
      </c>
      <c r="C24" s="11" t="s">
        <v>74</v>
      </c>
      <c r="D24" s="11" t="n">
        <v>4</v>
      </c>
      <c r="E24" s="23" t="n">
        <v>0.0303030303030303</v>
      </c>
    </row>
    <row r="25" customFormat="false" ht="15" hidden="false" customHeight="false" outlineLevel="0" collapsed="false">
      <c r="B25" s="24" t="s">
        <v>30</v>
      </c>
      <c r="C25" s="15" t="s">
        <v>31</v>
      </c>
      <c r="D25" s="15" t="n">
        <v>5</v>
      </c>
      <c r="E25" s="21" t="n">
        <v>0.0444444444444445</v>
      </c>
    </row>
    <row r="26" customFormat="false" ht="15" hidden="false" customHeight="false" outlineLevel="0" collapsed="false">
      <c r="B26" s="22" t="s">
        <v>73</v>
      </c>
      <c r="C26" s="11" t="s">
        <v>74</v>
      </c>
      <c r="D26" s="11" t="n">
        <v>4</v>
      </c>
      <c r="E26" s="26" t="n">
        <v>0.0465116279069767</v>
      </c>
    </row>
    <row r="27" customFormat="false" ht="15" hidden="false" customHeight="false" outlineLevel="0" collapsed="false">
      <c r="B27" s="24" t="s">
        <v>40</v>
      </c>
      <c r="C27" s="15" t="s">
        <v>31</v>
      </c>
      <c r="D27" s="15" t="n">
        <v>5</v>
      </c>
      <c r="E27" s="21" t="n">
        <v>0.0491803278688525</v>
      </c>
    </row>
    <row r="28" customFormat="false" ht="15" hidden="false" customHeight="false" outlineLevel="0" collapsed="false">
      <c r="B28" s="22" t="s">
        <v>99</v>
      </c>
      <c r="C28" s="11" t="s">
        <v>100</v>
      </c>
      <c r="D28" s="11" t="n">
        <v>5</v>
      </c>
      <c r="E28" s="26" t="n">
        <v>0.0493827160493827</v>
      </c>
    </row>
  </sheetData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2026-05-21T18:36:25Z</dcterms:created>
  <dc:creator>openpyxl</dc:creator>
  <dc:description/>
  <dc:language>en-US</dc:language>
  <cp:lastModifiedBy/>
  <dcterms:modified xsi:type="dcterms:W3CDTF">2026-05-21T18:36:35Z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