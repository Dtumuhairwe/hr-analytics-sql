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Headcount" sheetId="3" state="visible" r:id="rId3"/>
    <sheet xmlns:r="http://schemas.openxmlformats.org/officeDocument/2006/relationships" name="Salary by Dept" sheetId="4" state="visible" r:id="rId4"/>
    <sheet xmlns:r="http://schemas.openxmlformats.org/officeDocument/2006/relationships" name="Gender Split" sheetId="5" state="visible" r:id="rId5"/>
    <sheet xmlns:r="http://schemas.openxmlformats.org/officeDocument/2006/relationships" name="Hires per Year" sheetId="6" state="visible" r:id="rId6"/>
    <sheet xmlns:r="http://schemas.openxmlformats.org/officeDocument/2006/relationships" name="Salary Bands" sheetId="7" state="visible" r:id="rId7"/>
    <sheet xmlns:r="http://schemas.openxmlformats.org/officeDocument/2006/relationships" name="Top Performers" sheetId="8" state="visible" r:id="rId8"/>
    <sheet xmlns:r="http://schemas.openxmlformats.org/officeDocument/2006/relationships" name="Flight Ris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&quot;%&quot;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595959"/>
      <sz val="11"/>
    </font>
    <font>
      <name val="Calibri"/>
      <b val="1"/>
      <color rgb="00333333"/>
      <sz val="11"/>
    </font>
    <font>
      <name val="Calibri"/>
      <b val="1"/>
      <color rgb="001F4E78"/>
      <sz val="22"/>
    </font>
    <font>
      <name val="Calibri"/>
      <b val="1"/>
      <color rgb="00FFFFFF"/>
      <sz val="12"/>
    </font>
    <font>
      <sz val="11"/>
    </font>
    <font>
      <i val="1"/>
      <color rgb="00595959"/>
      <sz val="11"/>
    </font>
    <font>
      <b val="1"/>
      <sz val="12"/>
    </font>
    <font>
      <i val="1"/>
      <color rgb="00595959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3FB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Active Headcount by Department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'Headcount'!B1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'Headcount'!$A$2:$A$7</f>
            </numRef>
          </cat>
          <val>
            <numRef>
              <f>'Headcount'!$B$2:$B$7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Employees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2025 Compensation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'Salary by Dept'!B1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'Salary by Dept'!$A$2:$A$7</f>
            </numRef>
          </cat>
          <val>
            <numRef>
              <f>'Salary by Dept'!$B$2:$B$7</f>
            </numRef>
          </val>
        </ser>
        <ser>
          <idx val="1"/>
          <order val="1"/>
          <tx>
            <strRef>
              <f>'Salary by Dept'!C1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'Salary by Dept'!$A$2:$A$7</f>
            </numRef>
          </cat>
          <val>
            <numRef>
              <f>'Salary by Dept'!$C$2:$C$7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Active Workforce by Gender</a:t>
            </a:r>
          </a:p>
        </rich>
      </tx>
    </title>
    <plotArea>
      <pieChart>
        <varyColors val="1"/>
        <ser>
          <idx val="0"/>
          <order val="0"/>
          <tx>
            <strRef>
              <f>'Gender Split'!B1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'Gender Split'!$A$2:$A$3</f>
            </numRef>
          </cat>
          <val>
            <numRef>
              <f>'Gender Split'!$B$2:$B$3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Hires</a:t>
            </a:r>
          </a:p>
        </rich>
      </tx>
    </title>
    <plotArea>
      <lineChart>
        <grouping val="standard"/>
        <ser>
          <idx val="0"/>
          <order val="0"/>
          <tx>
            <strRef>
              <f>'Hires per Year'!B1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'Hires per Year'!$A$2:$A$9</f>
            </numRef>
          </cat>
          <val>
            <numRef>
              <f>'Hires per Year'!$B$2:$B$9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Employees Hired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 Salary Bands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'Salary Bands'!B1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'Salary Bands'!$A$2:$A$5</f>
            </numRef>
          </cat>
          <val>
            <numRef>
              <f>'Salary Bands'!$B$2:$B$5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Employees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25</row>
      <rowOff>0</rowOff>
    </from>
    <ext cx="61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6</row>
      <rowOff>0</rowOff>
    </from>
    <ext cx="432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25</row>
      <rowOff>0</rowOff>
    </from>
    <ext cx="432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44</row>
      <rowOff>0</rowOff>
    </from>
    <ext cx="6120000" cy="32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36" customHeight="1">
      <c r="A1" s="1" t="inlineStr">
        <is>
          <t>HR Analytics SQL Project</t>
        </is>
      </c>
    </row>
    <row r="2">
      <c r="A2" s="2" t="inlineStr"/>
    </row>
    <row r="3">
      <c r="A3" s="2" t="inlineStr">
        <is>
          <t>This workbook is the dashboard layer of an HR Analytics SQL project.</t>
        </is>
      </c>
    </row>
    <row r="4">
      <c r="A4" s="2" t="inlineStr">
        <is>
          <t>All numbers below were generated by running the queries in</t>
        </is>
      </c>
    </row>
    <row r="5">
      <c r="A5" s="3" t="inlineStr">
        <is>
          <t xml:space="preserve">    03_analysis_queries.sql against the seed data in 02_seed_data.sql.</t>
        </is>
      </c>
    </row>
    <row r="6">
      <c r="A6" s="2" t="inlineStr"/>
    </row>
    <row r="7">
      <c r="A7" s="4" t="inlineStr">
        <is>
          <t>Tabs:</t>
        </is>
      </c>
    </row>
    <row r="8">
      <c r="A8" s="2" t="inlineStr">
        <is>
          <t xml:space="preserve">    • Dashboard   — KPI strip + 5 charts</t>
        </is>
      </c>
    </row>
    <row r="9">
      <c r="A9" s="2" t="inlineStr">
        <is>
          <t xml:space="preserve">    • Headcount   — active employees per department</t>
        </is>
      </c>
    </row>
    <row r="10">
      <c r="A10" s="2" t="inlineStr">
        <is>
          <t xml:space="preserve">    • Salary by Dept — avg base + total comp by department (2025)</t>
        </is>
      </c>
    </row>
    <row r="11">
      <c r="A11" s="2" t="inlineStr">
        <is>
          <t xml:space="preserve">    • Gender Split — pie data</t>
        </is>
      </c>
    </row>
    <row r="12">
      <c r="A12" s="2" t="inlineStr">
        <is>
          <t xml:space="preserve">    • Hires per Year — annual hiring trend</t>
        </is>
      </c>
    </row>
    <row r="13">
      <c r="A13" s="2" t="inlineStr">
        <is>
          <t xml:space="preserve">    • Salary Bands — band distribution (2025)</t>
        </is>
      </c>
    </row>
    <row r="14">
      <c r="A14" s="2" t="inlineStr">
        <is>
          <t xml:space="preserve">    • Top Performers — rating 5 in both 2023 and 2024</t>
        </is>
      </c>
    </row>
    <row r="15">
      <c r="A15" s="2" t="inlineStr">
        <is>
          <t xml:space="preserve">    • Flight Risk — high performers with sub-5% raises</t>
        </is>
      </c>
    </row>
    <row r="16">
      <c r="A16" s="2" t="inlineStr"/>
    </row>
    <row r="17">
      <c r="A17" s="5" t="inlineStr">
        <is>
          <t>Generated on 2026-05-20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6" customHeight="1">
      <c r="A1" s="1" t="inlineStr">
        <is>
          <t>HR Analytics Dashboard</t>
        </is>
      </c>
    </row>
    <row r="2" ht="22" customHeight="1">
      <c r="A2" s="6" t="inlineStr">
        <is>
          <t>Snapshot of headcount, compensation, attrition and performance from the HR Analytics SQL project</t>
        </is>
      </c>
    </row>
    <row r="4" ht="22" customHeight="1">
      <c r="A4" s="7" t="inlineStr">
        <is>
          <t>Active Headcount</t>
        </is>
      </c>
      <c r="C4" s="7" t="inlineStr">
        <is>
          <t>Total Comp 2025 ($)</t>
        </is>
      </c>
      <c r="E4" s="7" t="inlineStr">
        <is>
          <t>Avg Tenure (years)</t>
        </is>
      </c>
      <c r="G4" s="7" t="inlineStr">
        <is>
          <t>Terminations in 2024</t>
        </is>
      </c>
    </row>
    <row r="5" ht="36" customHeight="1">
      <c r="A5" s="8" t="inlineStr">
        <is>
          <t>36</t>
        </is>
      </c>
      <c r="C5" s="8" t="inlineStr">
        <is>
          <t>$4,783,800</t>
        </is>
      </c>
      <c r="E5" s="8" t="inlineStr">
        <is>
          <t>4.6</t>
        </is>
      </c>
      <c r="G5" s="8" t="inlineStr">
        <is>
          <t>2</t>
        </is>
      </c>
    </row>
  </sheetData>
  <mergeCells count="10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</cols>
  <sheetData>
    <row r="1">
      <c r="A1" s="9" t="inlineStr">
        <is>
          <t>Department</t>
        </is>
      </c>
      <c r="B1" s="9" t="inlineStr">
        <is>
          <t>Active Headcount</t>
        </is>
      </c>
    </row>
    <row r="2">
      <c r="A2" s="10" t="inlineStr">
        <is>
          <t>Customer Support</t>
        </is>
      </c>
      <c r="B2" s="11" t="n">
        <v>9</v>
      </c>
    </row>
    <row r="3">
      <c r="A3" s="10" t="inlineStr">
        <is>
          <t>Engineering</t>
        </is>
      </c>
      <c r="B3" s="11" t="n">
        <v>7</v>
      </c>
    </row>
    <row r="4">
      <c r="A4" s="10" t="inlineStr">
        <is>
          <t>Sales</t>
        </is>
      </c>
      <c r="B4" s="11" t="n">
        <v>6</v>
      </c>
    </row>
    <row r="5">
      <c r="A5" s="10" t="inlineStr">
        <is>
          <t>Finance</t>
        </is>
      </c>
      <c r="B5" s="11" t="n">
        <v>5</v>
      </c>
    </row>
    <row r="6">
      <c r="A6" s="10" t="inlineStr">
        <is>
          <t>Marketing</t>
        </is>
      </c>
      <c r="B6" s="11" t="n">
        <v>5</v>
      </c>
    </row>
    <row r="7">
      <c r="A7" s="10" t="inlineStr">
        <is>
          <t>Human Resources</t>
        </is>
      </c>
      <c r="B7" s="1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9" t="inlineStr">
        <is>
          <t>Department</t>
        </is>
      </c>
      <c r="B1" s="9" t="inlineStr">
        <is>
          <t>Avg Base Salary</t>
        </is>
      </c>
      <c r="C1" s="9" t="inlineStr">
        <is>
          <t>Avg Total Comp</t>
        </is>
      </c>
    </row>
    <row r="2">
      <c r="A2" s="10" t="inlineStr">
        <is>
          <t>Finance</t>
        </is>
      </c>
      <c r="B2" s="12" t="n">
        <v>141800</v>
      </c>
      <c r="C2" s="12" t="n">
        <v>165700</v>
      </c>
    </row>
    <row r="3">
      <c r="A3" s="10" t="inlineStr">
        <is>
          <t>Sales</t>
        </is>
      </c>
      <c r="B3" s="12" t="n">
        <v>126000</v>
      </c>
      <c r="C3" s="12" t="n">
        <v>154333</v>
      </c>
    </row>
    <row r="4">
      <c r="A4" s="10" t="inlineStr">
        <is>
          <t>Engineering</t>
        </is>
      </c>
      <c r="B4" s="12" t="n">
        <v>122571</v>
      </c>
      <c r="C4" s="12" t="n">
        <v>140071</v>
      </c>
    </row>
    <row r="5">
      <c r="A5" s="10" t="inlineStr">
        <is>
          <t>Human Resources</t>
        </is>
      </c>
      <c r="B5" s="12" t="n">
        <v>115000</v>
      </c>
      <c r="C5" s="12" t="n">
        <v>129625</v>
      </c>
    </row>
    <row r="6">
      <c r="A6" s="10" t="inlineStr">
        <is>
          <t>Marketing</t>
        </is>
      </c>
      <c r="B6" s="12" t="n">
        <v>110200</v>
      </c>
      <c r="C6" s="12" t="n">
        <v>125000</v>
      </c>
    </row>
    <row r="7">
      <c r="A7" s="10" t="inlineStr">
        <is>
          <t>Customer Support</t>
        </is>
      </c>
      <c r="B7" s="12" t="n">
        <v>82800</v>
      </c>
      <c r="C7" s="12" t="n">
        <v>90530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9" t="inlineStr">
        <is>
          <t>Gender</t>
        </is>
      </c>
      <c r="B1" s="9" t="inlineStr">
        <is>
          <t>Headcount</t>
        </is>
      </c>
    </row>
    <row r="2">
      <c r="A2" s="10" t="inlineStr">
        <is>
          <t>Female</t>
        </is>
      </c>
      <c r="B2" s="11" t="n">
        <v>19</v>
      </c>
    </row>
    <row r="3">
      <c r="A3" s="10" t="inlineStr">
        <is>
          <t>Male</t>
        </is>
      </c>
      <c r="B3" s="11" t="n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9" t="inlineStr">
        <is>
          <t>Year</t>
        </is>
      </c>
      <c r="B1" s="9" t="inlineStr">
        <is>
          <t>Hires</t>
        </is>
      </c>
    </row>
    <row r="2">
      <c r="A2" s="10" t="n">
        <v>2018</v>
      </c>
      <c r="B2" s="11" t="n">
        <v>3</v>
      </c>
    </row>
    <row r="3">
      <c r="A3" s="10" t="n">
        <v>2019</v>
      </c>
      <c r="B3" s="11" t="n">
        <v>5</v>
      </c>
    </row>
    <row r="4">
      <c r="A4" s="10" t="n">
        <v>2020</v>
      </c>
      <c r="B4" s="11" t="n">
        <v>7</v>
      </c>
    </row>
    <row r="5">
      <c r="A5" s="10" t="n">
        <v>2021</v>
      </c>
      <c r="B5" s="11" t="n">
        <v>7</v>
      </c>
    </row>
    <row r="6">
      <c r="A6" s="10" t="n">
        <v>2022</v>
      </c>
      <c r="B6" s="11" t="n">
        <v>7</v>
      </c>
    </row>
    <row r="7">
      <c r="A7" s="10" t="n">
        <v>2023</v>
      </c>
      <c r="B7" s="11" t="n">
        <v>5</v>
      </c>
    </row>
    <row r="8">
      <c r="A8" s="10" t="n">
        <v>2024</v>
      </c>
      <c r="B8" s="11" t="n">
        <v>5</v>
      </c>
    </row>
    <row r="9">
      <c r="A9" s="10" t="n">
        <v>2025</v>
      </c>
      <c r="B9" s="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9" t="inlineStr">
        <is>
          <t>Band</t>
        </is>
      </c>
      <c r="B1" s="9" t="inlineStr">
        <is>
          <t>Employees</t>
        </is>
      </c>
    </row>
    <row r="2">
      <c r="A2" s="10" t="inlineStr">
        <is>
          <t>Entry-Level</t>
        </is>
      </c>
      <c r="B2" s="11" t="n">
        <v>8</v>
      </c>
    </row>
    <row r="3">
      <c r="A3" s="10" t="inlineStr">
        <is>
          <t>Mid-Level</t>
        </is>
      </c>
      <c r="B3" s="11" t="n">
        <v>14</v>
      </c>
    </row>
    <row r="4">
      <c r="A4" s="10" t="inlineStr">
        <is>
          <t>Senior</t>
        </is>
      </c>
      <c r="B4" s="11" t="n">
        <v>8</v>
      </c>
    </row>
    <row r="5">
      <c r="A5" s="10" t="inlineStr">
        <is>
          <t>Executive</t>
        </is>
      </c>
      <c r="B5" s="11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</cols>
  <sheetData>
    <row r="1">
      <c r="A1" s="9" t="inlineStr">
        <is>
          <t>Name</t>
        </is>
      </c>
      <c r="B1" s="9" t="inlineStr">
        <is>
          <t>Job Title</t>
        </is>
      </c>
      <c r="C1" s="9" t="inlineStr">
        <is>
          <t>Department</t>
        </is>
      </c>
    </row>
    <row r="2">
      <c r="A2" s="10" t="inlineStr">
        <is>
          <t>Liam Adams</t>
        </is>
      </c>
      <c r="B2" s="11" t="inlineStr">
        <is>
          <t>Senior Support Specialist</t>
        </is>
      </c>
      <c r="C2" s="11" t="inlineStr">
        <is>
          <t>Customer Support</t>
        </is>
      </c>
    </row>
    <row r="3">
      <c r="A3" s="10" t="inlineStr">
        <is>
          <t>Priya Patel</t>
        </is>
      </c>
      <c r="B3" s="11" t="inlineStr">
        <is>
          <t>Senior Software Engineer</t>
        </is>
      </c>
      <c r="C3" s="11" t="inlineStr">
        <is>
          <t>Engineering</t>
        </is>
      </c>
    </row>
    <row r="4">
      <c r="A4" s="10" t="inlineStr">
        <is>
          <t>Sarah Chen</t>
        </is>
      </c>
      <c r="B4" s="11" t="inlineStr">
        <is>
          <t>VP Engineering</t>
        </is>
      </c>
      <c r="C4" s="11" t="inlineStr">
        <is>
          <t>Engineering</t>
        </is>
      </c>
    </row>
    <row r="5">
      <c r="A5" s="10" t="inlineStr">
        <is>
          <t>William Clark</t>
        </is>
      </c>
      <c r="B5" s="11" t="inlineStr">
        <is>
          <t>CFO</t>
        </is>
      </c>
      <c r="C5" s="11" t="inlineStr">
        <is>
          <t>Finance</t>
        </is>
      </c>
    </row>
    <row r="6">
      <c r="A6" s="10" t="inlineStr">
        <is>
          <t>Ava Nguyen</t>
        </is>
      </c>
      <c r="B6" s="11" t="inlineStr">
        <is>
          <t>Content Strategist</t>
        </is>
      </c>
      <c r="C6" s="11" t="inlineStr">
        <is>
          <t>Marketing</t>
        </is>
      </c>
    </row>
    <row r="7">
      <c r="A7" s="10" t="inlineStr">
        <is>
          <t>Michael Brown</t>
        </is>
      </c>
      <c r="B7" s="11" t="inlineStr">
        <is>
          <t>Senior Account Executive</t>
        </is>
      </c>
      <c r="C7" s="11" t="inlineStr">
        <is>
          <t>Sales</t>
        </is>
      </c>
    </row>
    <row r="8">
      <c r="A8" s="10" t="inlineStr">
        <is>
          <t>Robert Taylor</t>
        </is>
      </c>
      <c r="B8" s="11" t="inlineStr">
        <is>
          <t>VP Sales</t>
        </is>
      </c>
      <c r="C8" s="11" t="inlineStr">
        <is>
          <t>Sales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6" customWidth="1" min="4" max="4"/>
    <col width="16" customWidth="1" min="5" max="5"/>
    <col width="12" customWidth="1" min="6" max="6"/>
  </cols>
  <sheetData>
    <row r="1">
      <c r="A1" s="9" t="inlineStr">
        <is>
          <t>Name</t>
        </is>
      </c>
      <c r="B1" s="9" t="inlineStr">
        <is>
          <t>Department</t>
        </is>
      </c>
      <c r="C1" s="9" t="inlineStr">
        <is>
          <t>Rating 2024</t>
        </is>
      </c>
      <c r="D1" s="9" t="inlineStr">
        <is>
          <t>Salary 2024</t>
        </is>
      </c>
      <c r="E1" s="9" t="inlineStr">
        <is>
          <t>Salary 2025</t>
        </is>
      </c>
      <c r="F1" s="9" t="inlineStr">
        <is>
          <t>Raise %</t>
        </is>
      </c>
    </row>
    <row r="2">
      <c r="A2" s="10" t="inlineStr">
        <is>
          <t>William Clark</t>
        </is>
      </c>
      <c r="B2" s="11" t="inlineStr">
        <is>
          <t>Finance</t>
        </is>
      </c>
      <c r="C2" s="11" t="n">
        <v>5</v>
      </c>
      <c r="D2" s="12" t="n">
        <v>255000</v>
      </c>
      <c r="E2" s="12" t="n">
        <v>265000</v>
      </c>
      <c r="F2" s="13" t="n">
        <v>3.9</v>
      </c>
    </row>
    <row r="3">
      <c r="A3" s="10" t="inlineStr">
        <is>
          <t>Olivia Anderson</t>
        </is>
      </c>
      <c r="B3" s="11" t="inlineStr">
        <is>
          <t>Marketing</t>
        </is>
      </c>
      <c r="C3" s="11" t="n">
        <v>4</v>
      </c>
      <c r="D3" s="12" t="n">
        <v>173000</v>
      </c>
      <c r="E3" s="12" t="n">
        <v>180000</v>
      </c>
      <c r="F3" s="13" t="n">
        <v>4</v>
      </c>
    </row>
    <row r="4">
      <c r="A4" s="10" t="inlineStr">
        <is>
          <t>Alexander Scott</t>
        </is>
      </c>
      <c r="B4" s="11" t="inlineStr">
        <is>
          <t>Customer Support</t>
        </is>
      </c>
      <c r="C4" s="11" t="n">
        <v>4</v>
      </c>
      <c r="D4" s="12" t="n">
        <v>165000</v>
      </c>
      <c r="E4" s="12" t="n">
        <v>172000</v>
      </c>
      <c r="F4" s="13" t="n">
        <v>4.2</v>
      </c>
    </row>
    <row r="5">
      <c r="A5" s="10" t="inlineStr">
        <is>
          <t>Sarah Chen</t>
        </is>
      </c>
      <c r="B5" s="11" t="inlineStr">
        <is>
          <t>Engineering</t>
        </is>
      </c>
      <c r="C5" s="11" t="n">
        <v>5</v>
      </c>
      <c r="D5" s="12" t="n">
        <v>225000</v>
      </c>
      <c r="E5" s="12" t="n">
        <v>235000</v>
      </c>
      <c r="F5" s="13" t="n">
        <v>4.4</v>
      </c>
    </row>
    <row r="6">
      <c r="A6" s="10" t="inlineStr">
        <is>
          <t>Robert Taylor</t>
        </is>
      </c>
      <c r="B6" s="11" t="inlineStr">
        <is>
          <t>Sales</t>
        </is>
      </c>
      <c r="C6" s="11" t="n">
        <v>5</v>
      </c>
      <c r="D6" s="12" t="n">
        <v>220000</v>
      </c>
      <c r="E6" s="12" t="n">
        <v>230000</v>
      </c>
      <c r="F6" s="13" t="n">
        <v>4.5</v>
      </c>
    </row>
    <row r="7">
      <c r="A7" s="10" t="inlineStr">
        <is>
          <t>Grace Wilson</t>
        </is>
      </c>
      <c r="B7" s="11" t="inlineStr">
        <is>
          <t>Human Resources</t>
        </is>
      </c>
      <c r="C7" s="11" t="n">
        <v>5</v>
      </c>
      <c r="D7" s="12" t="n">
        <v>170000</v>
      </c>
      <c r="E7" s="12" t="n">
        <v>178000</v>
      </c>
      <c r="F7" s="13" t="n">
        <v>4.7</v>
      </c>
    </row>
    <row r="8">
      <c r="A8" s="10" t="inlineStr">
        <is>
          <t>Charlotte Lewis</t>
        </is>
      </c>
      <c r="B8" s="11" t="inlineStr">
        <is>
          <t>Finance</t>
        </is>
      </c>
      <c r="C8" s="11" t="n">
        <v>4</v>
      </c>
      <c r="D8" s="12" t="n">
        <v>150000</v>
      </c>
      <c r="E8" s="12" t="n">
        <v>157000</v>
      </c>
      <c r="F8" s="13" t="n">
        <v>4.7</v>
      </c>
    </row>
    <row r="9">
      <c r="A9" s="10" t="inlineStr">
        <is>
          <t>Emily Rodriguez</t>
        </is>
      </c>
      <c r="B9" s="11" t="inlineStr">
        <is>
          <t>Sales</t>
        </is>
      </c>
      <c r="C9" s="11" t="n">
        <v>4</v>
      </c>
      <c r="D9" s="12" t="n">
        <v>145000</v>
      </c>
      <c r="E9" s="12" t="n">
        <v>152000</v>
      </c>
      <c r="F9" s="13" t="n">
        <v>4.8</v>
      </c>
    </row>
    <row r="10">
      <c r="A10" s="10" t="inlineStr">
        <is>
          <t>Priya Patel</t>
        </is>
      </c>
      <c r="B10" s="11" t="inlineStr">
        <is>
          <t>Engineering</t>
        </is>
      </c>
      <c r="C10" s="11" t="n">
        <v>5</v>
      </c>
      <c r="D10" s="12" t="n">
        <v>122000</v>
      </c>
      <c r="E10" s="12" t="n">
        <v>128000</v>
      </c>
      <c r="F10" s="13" t="n">
        <v>4.9</v>
      </c>
    </row>
    <row r="11">
      <c r="A11" s="10" t="inlineStr">
        <is>
          <t>Nathan Davis</t>
        </is>
      </c>
      <c r="B11" s="11" t="inlineStr">
        <is>
          <t>Human Resources</t>
        </is>
      </c>
      <c r="C11" s="11" t="n">
        <v>4</v>
      </c>
      <c r="D11" s="12" t="n">
        <v>122000</v>
      </c>
      <c r="E11" s="12" t="n">
        <v>128000</v>
      </c>
      <c r="F11" s="13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2026-05-20T17:27:43Z</dcterms:created>
  <dcterms:modified xmlns:dcterms="http://purl.org/dc/terms/" xmlns:xsi="http://www.w3.org/2001/XMLSchema-instance" xsi:type="dcterms:W3CDTF">2026-05-20T17:27:43Z</dcterms:modified>
</cp:coreProperties>
</file>